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1" activeTab="2"/>
  </bookViews>
  <sheets>
    <sheet sheetId="6" name="Импорт" state="hidden" r:id="rId4"/>
    <sheet sheetId="11" name="Спецификация для запроса ТУ" state="visible" r:id="rId5"/>
    <sheet sheetId="10" name="Справочник оборудования" state="visible" r:id="rId6"/>
    <sheet sheetId="7" name="Справочник Статусов" state="hidden" r:id="rId7"/>
  </sheets>
  <calcPr calcId="171027"/>
</workbook>
</file>

<file path=xl/sharedStrings.xml><?xml version="1.0" encoding="utf-8"?>
<sst xmlns="http://schemas.openxmlformats.org/spreadsheetml/2006/main" count="3205" uniqueCount="666">
  <si>
    <t>Объект размещения</t>
  </si>
  <si>
    <t>Субарендатор</t>
  </si>
  <si>
    <t>Оборудование</t>
  </si>
  <si>
    <t>Кол-во</t>
  </si>
  <si>
    <t>Статус размещения</t>
  </si>
  <si>
    <t>Высота подвеса</t>
  </si>
  <si>
    <t>Способ установки / прокладки</t>
  </si>
  <si>
    <r>
      <t xml:space="preserve">Версия формы: </t>
    </r>
    <r>
      <rPr>
        <b/>
        <charset val="204"/>
        <color rgb="FFA20000"/>
        <family val="2"/>
        <scheme val="minor"/>
        <sz val="14"/>
        <rFont val="Calibri"/>
      </rPr>
      <t>02.12.2025</t>
    </r>
  </si>
  <si>
    <t>Номер БС Субарендатора (без названия)</t>
  </si>
  <si>
    <t>-?-</t>
  </si>
  <si>
    <r>
      <rPr>
        <b/>
        <charset val="204"/>
        <family val="2"/>
        <scheme val="minor"/>
        <sz val="9"/>
        <rFont val="Calibri"/>
      </rPr>
      <t>Примечания по заполнению и использованию формы специфкации при отправке запроса в ООО "НГС":</t>
    </r>
    <r>
      <rPr>
        <charset val="204"/>
        <family val="2"/>
        <scheme val="minor"/>
        <sz val="9"/>
        <rFont val="Calibri"/>
      </rPr>
      <t xml:space="preserve">
1. Поиск оборудования в справочнике поддерживается в Excel 2020 и поздних версиях;
2. В случае отсутствия оборудования в справочнике необходимо приложить описание от производителя/поставщика такого оборудования к заявке, создаваемой через https://gorservices.kaiten.ru/sd;
3. Просьба перед заполнением новой спецификации обязательно проверять актуальность формы. Запросы с неактуальной спецификацией на момент создания заявки будут отклонены.</t>
    </r>
  </si>
  <si>
    <t>Субарендатор (Оператор)</t>
  </si>
  <si>
    <t>ID Объекта Арендатора (ООО "НГС")</t>
  </si>
  <si>
    <t>Поиск оборудования в справочнике:</t>
  </si>
  <si>
    <t>Тип оборудования</t>
  </si>
  <si>
    <t xml:space="preserve">Габарит, мм / Вес, кг /
Кол-во портов, шт</t>
  </si>
  <si>
    <t>Кол-во, шт</t>
  </si>
  <si>
    <t>Высота подвеса, м</t>
  </si>
  <si>
    <t>Статус</t>
  </si>
  <si>
    <t>Радиочастотный кабель</t>
  </si>
  <si>
    <t>Оптический кабель</t>
  </si>
  <si>
    <t>Кабель питания (DC)</t>
  </si>
  <si>
    <t>Кабель управления RET</t>
  </si>
  <si>
    <t>#</t>
  </si>
  <si>
    <t>Наименование</t>
  </si>
  <si>
    <t>Высота</t>
  </si>
  <si>
    <t>Ширина</t>
  </si>
  <si>
    <t>Глубина</t>
  </si>
  <si>
    <t>Диаметр</t>
  </si>
  <si>
    <t>Вес</t>
  </si>
  <si>
    <t>Габарит (текст.)</t>
  </si>
  <si>
    <t>Особое примечание</t>
  </si>
  <si>
    <t>Кол-во портов</t>
  </si>
  <si>
    <t>Площадь (расч.)</t>
  </si>
  <si>
    <t>Примечание</t>
  </si>
  <si>
    <t>Поиск</t>
  </si>
  <si>
    <t>НЕ ИМПОРТИРОВАТЬ!</t>
  </si>
  <si>
    <t>Ericsson Mini-Link E (0.3m)</t>
  </si>
  <si>
    <t>Антенна РРС</t>
  </si>
  <si>
    <t>Ø 382</t>
  </si>
  <si>
    <t/>
  </si>
  <si>
    <t>Ericsson Mini-Link E (0.6m)</t>
  </si>
  <si>
    <t>Ø 635</t>
  </si>
  <si>
    <t>FainiTS a THP 03 370 S (0.3m)</t>
  </si>
  <si>
    <t>Ø 385</t>
  </si>
  <si>
    <t>Huawei RTN-380AX (0.3m)</t>
  </si>
  <si>
    <t>Ø 300</t>
  </si>
  <si>
    <t>Huawei RTN-380AX (0.6m)</t>
  </si>
  <si>
    <t>Ø 600</t>
  </si>
  <si>
    <t>Huawei XMC-3 (0.3m)</t>
  </si>
  <si>
    <t>42мм - толщина блока</t>
  </si>
  <si>
    <t>InfiLINK Evolution E5-ST23</t>
  </si>
  <si>
    <t>305 x 305 x 66</t>
  </si>
  <si>
    <t>Infinet Vector v70-39 (0.12m, линз.)</t>
  </si>
  <si>
    <t>255 x 226 x 189</t>
  </si>
  <si>
    <t>MikroTik LGH 60G</t>
  </si>
  <si>
    <t>Ø 391</t>
  </si>
  <si>
    <t>Nokia UBT-mX (0.3m)</t>
  </si>
  <si>
    <t>Siklu EtherHaul-8010FX (0.3m)</t>
  </si>
  <si>
    <t>Siklu EtherHaul-8010FX (0.6m)</t>
  </si>
  <si>
    <t>МАЯК-1000Е 0.12m (линз.)</t>
  </si>
  <si>
    <t>Ø 120</t>
  </si>
  <si>
    <t>МАЯК-1000Е 0.3m</t>
  </si>
  <si>
    <t>МАЯК-1000Е 0.6m</t>
  </si>
  <si>
    <t>Ø 650</t>
  </si>
  <si>
    <t>НТР NTSR-1G A20/А25 (0.12m)</t>
  </si>
  <si>
    <t>Ø 125</t>
  </si>
  <si>
    <t>НТР NTSR-1G AWG 0.3</t>
  </si>
  <si>
    <t>Ø 395</t>
  </si>
  <si>
    <t>НТР NTSR-1G AWG 0.6</t>
  </si>
  <si>
    <t>РРС 0.2m</t>
  </si>
  <si>
    <t>Ø 200</t>
  </si>
  <si>
    <t>РРС 0.3m</t>
  </si>
  <si>
    <t>РРС 0.6m</t>
  </si>
  <si>
    <t>Broadradio LLPX310P2-DH2-2C</t>
  </si>
  <si>
    <t>Антенна панельная</t>
  </si>
  <si>
    <t>1380 x 320 x 140</t>
  </si>
  <si>
    <t>(1710-2170/1710-2170/2490-2690/2490-2690)</t>
  </si>
  <si>
    <t>Broadradio LLPX312P-DHH-E2-C</t>
  </si>
  <si>
    <t>1370 x 339 x 169</t>
  </si>
  <si>
    <t>Broadradio S-HLLPX8.6P2-DH2-2C</t>
  </si>
  <si>
    <t>1295 x 448 x 145</t>
  </si>
  <si>
    <t>Broadradio U2L4PX305.11P-DHH-E2-C</t>
  </si>
  <si>
    <t>1495 x 498 x 197</t>
  </si>
  <si>
    <t>(694-960/694-960/1710-2170/1710-2170/2490-2690/2490-2690/1710-2690/1710-2690)</t>
  </si>
  <si>
    <t>Broadradio U2L4PX305.11P2-DHH-E2-C</t>
  </si>
  <si>
    <t>Broadradio UL4PX308.10P-E2-C</t>
  </si>
  <si>
    <t>2400 x 339 x 169</t>
  </si>
  <si>
    <t>(698-960/1710-2690/1710-2690/1710-2690/1710-2690)</t>
  </si>
  <si>
    <t>Comba ODDI2-032R18J02-GQ V1</t>
  </si>
  <si>
    <t>1800 x 355 x 192</t>
  </si>
  <si>
    <t>(1695-2690/1695-2690/1695-2690/1695-2690) (вес не точный)</t>
  </si>
  <si>
    <t>Comba ODHI-32R18JJ65R16M-GQ</t>
  </si>
  <si>
    <t>2000 x 355 x 192</t>
  </si>
  <si>
    <t>(690-960/1710-2690/1710-2690/1710-2690/1710-2690)</t>
  </si>
  <si>
    <t>Comba ODI-065R15M18J02-Q V3</t>
  </si>
  <si>
    <t>1500 x 445 x 150</t>
  </si>
  <si>
    <t>(690-960/690-960/1695-2690/1695-2690)</t>
  </si>
  <si>
    <t>Comba ODI-065R15M18JJ02-GQ V1</t>
  </si>
  <si>
    <t>1400 x 320 x 145</t>
  </si>
  <si>
    <t>(690-960/1695-2690/1695-2690)</t>
  </si>
  <si>
    <t>Comba ODI-065R15MJJJJ02-Q-22 V1</t>
  </si>
  <si>
    <t>1600 x 355 x 192</t>
  </si>
  <si>
    <t>(690-960/1695-2690/1695-2690/1695-2690/1695-2690)</t>
  </si>
  <si>
    <t>Comba ODI-065R15MJJJJ02-Q-RU V1</t>
  </si>
  <si>
    <t>Comba ODI-065R16M17JJJJ02-Q V3</t>
  </si>
  <si>
    <t>Comba ODI-065R16M18JJ-GQ V3</t>
  </si>
  <si>
    <t>(694-960/1695-2690/1695-2690)</t>
  </si>
  <si>
    <t>Comba ODI-065R16M18JJ-GQ-RU V2</t>
  </si>
  <si>
    <t>Comba ODI2-065R16MJJ02-GQ V1</t>
  </si>
  <si>
    <t>2000 x 445 x 192</t>
  </si>
  <si>
    <t>(690-960/690-960/1695-2690/1695-2690/1695-2690/1695-2690)</t>
  </si>
  <si>
    <t>Comba ODV2-065R18J-G V1</t>
  </si>
  <si>
    <t>1400 x 320 x 110</t>
  </si>
  <si>
    <t>(1710-2690/1710-2690/1710-2690/1710-2690)</t>
  </si>
  <si>
    <t>Commscope VVPX306R-V1</t>
  </si>
  <si>
    <t>812 x 290 x 103</t>
  </si>
  <si>
    <t>(1710-2690/1710-2690)</t>
  </si>
  <si>
    <t>FiberHome HXPM20X22BBYYYYYY1618065T2C</t>
  </si>
  <si>
    <t>2100 x 448 x 200</t>
  </si>
  <si>
    <t>(698-960/698-960/1710-2170/1710-2170/2500-2690/2500-2690/2500-2690) (20 + 1 cal)</t>
  </si>
  <si>
    <t>FiberHome HXPM4XWW19065T2C</t>
  </si>
  <si>
    <t>1300 x 270 x 140</t>
  </si>
  <si>
    <t>FiberHome HXPM6X3WW1518065T2C</t>
  </si>
  <si>
    <t>1490 x 398 x 140</t>
  </si>
  <si>
    <t>(790-960/1710-2690/1710-2690)</t>
  </si>
  <si>
    <t>FiberHome HXPM6X3WW1619065T2C</t>
  </si>
  <si>
    <t>FiberHome HXPM6XWWW19065T2C</t>
  </si>
  <si>
    <t>1300 x 398 x 140</t>
  </si>
  <si>
    <t>(1710-2690/1710-2690/1710-2690)</t>
  </si>
  <si>
    <t>FiberHome HXPM8X3BYW1618065T2FT2C</t>
  </si>
  <si>
    <t>2100 x 398 x 140</t>
  </si>
  <si>
    <t>(790-960/1710-2170/2300-2690/1710-2690)</t>
  </si>
  <si>
    <t>FiberHome HXPM8XBBYY19065T2C</t>
  </si>
  <si>
    <t>1398 x 320 x 140</t>
  </si>
  <si>
    <t>(1710-2170/1710-2170/2500-2690/2500-2690)</t>
  </si>
  <si>
    <t>Hengxin HXL2W651113DRNF</t>
  </si>
  <si>
    <t>750 x 357 x 177</t>
  </si>
  <si>
    <t>Huawei A104518R06v06</t>
  </si>
  <si>
    <t>1699 x 469 x 206</t>
  </si>
  <si>
    <t>(790-960/790-960/1695-2690/1695-2690/1695-2690/1695-2690/2490-2690/2490-2690/2490-2690/2490-2690) (12+2(4-5pin))</t>
  </si>
  <si>
    <t>Huawei A26451500</t>
  </si>
  <si>
    <t>841 x 155 x 109</t>
  </si>
  <si>
    <t>(1710-2690)</t>
  </si>
  <si>
    <t>Huawei A264521R2v06</t>
  </si>
  <si>
    <t>1365 x 299 x 109</t>
  </si>
  <si>
    <t>(1695-2690)</t>
  </si>
  <si>
    <t>Huawei AAU5636-4.9</t>
  </si>
  <si>
    <t>730 x 395 x 200</t>
  </si>
  <si>
    <t>(4800-4960)</t>
  </si>
  <si>
    <t>Huawei ADU451507</t>
  </si>
  <si>
    <t>840 x 299 x 109</t>
  </si>
  <si>
    <t>Huawei ADU451716</t>
  </si>
  <si>
    <t>1496 x 298 x 150</t>
  </si>
  <si>
    <t>(790-960/1710-2690)</t>
  </si>
  <si>
    <t>Huawei ADU4518R6v06</t>
  </si>
  <si>
    <t>1365 x 269 x 86</t>
  </si>
  <si>
    <t>Huawei ADU4518R6v07</t>
  </si>
  <si>
    <t>Huawei AOC4518R13v06</t>
  </si>
  <si>
    <t>1499 x 469 x 206</t>
  </si>
  <si>
    <t>(690-960/690-960/1695-2690/1695-2690/1695-2200/1695-2200/2490-2690/2490-2690)</t>
  </si>
  <si>
    <t>Huawei AOC4518R8v06</t>
  </si>
  <si>
    <t>2099 x 449 x 196</t>
  </si>
  <si>
    <t>(690-960/690-960/1427-2690/1695-2200/1695-200/2490-2690/2490-2690/2300-3800) (вес не точный; 14+2(4-5pin))</t>
  </si>
  <si>
    <t>Huawei APE4517R0v06</t>
  </si>
  <si>
    <t>2528 x 349 x 166</t>
  </si>
  <si>
    <t>Huawei APE4518R19v06</t>
  </si>
  <si>
    <t>1999 x 349 x 166</t>
  </si>
  <si>
    <t>(690-960/1695-2200/1695-2200/2490-2690/2490-2690)</t>
  </si>
  <si>
    <t>Huawei APE4518R37v06</t>
  </si>
  <si>
    <t>1499 x 369 x 149</t>
  </si>
  <si>
    <t>(690-960/1427-2690/1695-2200/2490-2690/1695-2690)</t>
  </si>
  <si>
    <t>Huawei APE4518R38v06</t>
  </si>
  <si>
    <t>1999 x 369 x 149</t>
  </si>
  <si>
    <t>(690-960/1427-2690/1695-2690/1695-2200/2490-2690)</t>
  </si>
  <si>
    <t>Huawei AQU4518R0v06</t>
  </si>
  <si>
    <t>(790-960/1710-2690/1710-2170/2490-2690)</t>
  </si>
  <si>
    <t>Huawei AQU4518R11v07</t>
  </si>
  <si>
    <t>(690-960/1695-2690/1695-2690/1695-2690)</t>
  </si>
  <si>
    <t>Huawei AQU4518R11v08</t>
  </si>
  <si>
    <t>Huawei AQU4518R23v18</t>
  </si>
  <si>
    <t>1499 x 429 x 196</t>
  </si>
  <si>
    <t>Huawei AQU4518R8v07</t>
  </si>
  <si>
    <t>1490 x 299 x 109</t>
  </si>
  <si>
    <t>Huawei ASI4518R14v06</t>
  </si>
  <si>
    <t>(690-960/690-960/1695-2200/1695-2200/2490-2690/2490-2690)</t>
  </si>
  <si>
    <t>Huawei ASI4518R48v06 (1)</t>
  </si>
  <si>
    <t>2199 x 369 x 149</t>
  </si>
  <si>
    <t>(690-960/1695-1880/1920-2690/1695-2690/1695-2690/1695-2690)</t>
  </si>
  <si>
    <t>Huawei ASI4518R48v06 (3)</t>
  </si>
  <si>
    <t>2099 x 349 x 166</t>
  </si>
  <si>
    <t>(690-960/1695-1880/2300-2690/1695-2690/1695-2690/1695-2690)</t>
  </si>
  <si>
    <t>Huawei ASI4518R48v06 (Te2)</t>
  </si>
  <si>
    <t>2099 x 395 x 196</t>
  </si>
  <si>
    <t>(690-960/1695-2690/1695-2690/1695-2180/2490-2690/1695-2690)</t>
  </si>
  <si>
    <t>Huawei ATR4516R0</t>
  </si>
  <si>
    <t>2098 x 259 x 135</t>
  </si>
  <si>
    <t>(790-960/1710-2180/1710-2180)</t>
  </si>
  <si>
    <t>Huawei ATR451709</t>
  </si>
  <si>
    <t>1472 x 349 x 166</t>
  </si>
  <si>
    <t>Huawei ATR4517R1</t>
  </si>
  <si>
    <t>1499 x 349 x 166</t>
  </si>
  <si>
    <t>Huawei ATR4517R1v07</t>
  </si>
  <si>
    <t>(790-960/1695-2690/1695-2690)</t>
  </si>
  <si>
    <t>Huawei ATR4518R13v06</t>
  </si>
  <si>
    <t>Huawei ATR4518R14v06</t>
  </si>
  <si>
    <t>1365 x 376 x 99</t>
  </si>
  <si>
    <t>Huawei ATR4518R2</t>
  </si>
  <si>
    <t>2020 x 298 x 150</t>
  </si>
  <si>
    <t>Huawei ATR4518R4v06</t>
  </si>
  <si>
    <t>Huawei ATR4518R6v06</t>
  </si>
  <si>
    <t>(690-960/1695-2690/1695-2690) вес не точный</t>
  </si>
  <si>
    <t>Huawei HADAD-0927-D-12</t>
  </si>
  <si>
    <t>650 x 370 x 124</t>
  </si>
  <si>
    <t>(880-960??1710-2700) диапазоны и вес не точные</t>
  </si>
  <si>
    <t>MikroTik Cube 60G ac CubeG-5ac60ad</t>
  </si>
  <si>
    <t>132 x 130 x 130</t>
  </si>
  <si>
    <t>Вес примерно</t>
  </si>
  <si>
    <t>MikroTik RouterOS RBwAPG-60ad</t>
  </si>
  <si>
    <t>185 x 85 x 30</t>
  </si>
  <si>
    <t>Mobi MB3F/2600-65-17-17.5DDE-DF-IN</t>
  </si>
  <si>
    <t>1446 x 320 x 156</t>
  </si>
  <si>
    <t>Mobi MB3F2600-65-1717.5DDE-DFM-IN</t>
  </si>
  <si>
    <t>1385 x 316 x 130</t>
  </si>
  <si>
    <t>Mobi MB450-65-15.5DT3-TL</t>
  </si>
  <si>
    <t>2262 x 480 x 115</t>
  </si>
  <si>
    <t>(450-470)</t>
  </si>
  <si>
    <t>Mobi MB4B/MF/3F/2600-65-16/18/17.5/18DE-DF-IN-43</t>
  </si>
  <si>
    <t>1996 x 350 x 200</t>
  </si>
  <si>
    <t>(690-960/1710-2690/1710-2170/2300-2690)</t>
  </si>
  <si>
    <t>Mobi MBMF-65-18DDE-IN</t>
  </si>
  <si>
    <t>Mobi MBMF-65-18DDEM-IN</t>
  </si>
  <si>
    <t>1390 x 275 x 85</t>
  </si>
  <si>
    <t>Mobi MBMF-65-18TDE-IN-43</t>
  </si>
  <si>
    <t>1400 x 449 x 115</t>
  </si>
  <si>
    <t>Mobi MBMF-65-19TDEM-2IN-43</t>
  </si>
  <si>
    <t>1395 x 379 x 144</t>
  </si>
  <si>
    <t>Mobi MBMF-65-19TDEM-IN</t>
  </si>
  <si>
    <t>1395 x 420 x 120</t>
  </si>
  <si>
    <t>Mobi MBMF-DB-20DDE-IN-43</t>
  </si>
  <si>
    <t>1600 x 650 x 156</t>
  </si>
  <si>
    <t>Mobi PX8IS-60408S1</t>
  </si>
  <si>
    <t>1396 x 449 x 159</t>
  </si>
  <si>
    <t>Mobi PX8IS-60408S3</t>
  </si>
  <si>
    <t>ModTC D3-XI65-L152W18</t>
  </si>
  <si>
    <t>1495 x 350 x 200</t>
  </si>
  <si>
    <t>ModTC D4-XI65-2L152W18</t>
  </si>
  <si>
    <t>1495 x 446 x 165</t>
  </si>
  <si>
    <t>(694-960/694-960/1695-2200/1695-2690)</t>
  </si>
  <si>
    <t>ModTC D5-XI65-L154W18</t>
  </si>
  <si>
    <t>1495 x 480 x 175</t>
  </si>
  <si>
    <t>(694-960/1695-2690/1695-2690/1695-2690/1695-2690)</t>
  </si>
  <si>
    <t>ModTC D6-XI65-L16U18V183W18</t>
  </si>
  <si>
    <t>1995 x 396 x 190</t>
  </si>
  <si>
    <t>(694-960/1710-2170/2490-2690/1710-2690/1710-2690/1710-2690)</t>
  </si>
  <si>
    <t>Noname G0826-16R318H17D18T-65X</t>
  </si>
  <si>
    <t>(694-960/1710-2690/1710-2690/1710-2690/1710-2170/2490-2690) - описание без производителя - есть фото бирки на 771675</t>
  </si>
  <si>
    <t>RFE 6000/90/18 MIMO (Cambium ePMP_1000)</t>
  </si>
  <si>
    <t>500 x 170 x 40</t>
  </si>
  <si>
    <t>Rosenberger 2G4WC-21</t>
  </si>
  <si>
    <t>1499 x 498 x 198</t>
  </si>
  <si>
    <t>(698-960/698-960/1695-2690/1695-2690/1695-2690/1695-2690)</t>
  </si>
  <si>
    <t>Rosenberger 2G4WD-21A</t>
  </si>
  <si>
    <t>1999 x 448 x 188</t>
  </si>
  <si>
    <t>Rosenberger 2G4WHE-21</t>
  </si>
  <si>
    <t>2070 x 350 x 200</t>
  </si>
  <si>
    <t>(698-960/1695-2690/1695-2690/1695-2690/1695-2690)</t>
  </si>
  <si>
    <t>Rosenberger 4WMC-21</t>
  </si>
  <si>
    <t>1050 x 630 x 175</t>
  </si>
  <si>
    <t>Rosenberger BA-G3W6X65V-11</t>
  </si>
  <si>
    <t>889 x 350 x 200</t>
  </si>
  <si>
    <t>(690-960/1695-2690)</t>
  </si>
  <si>
    <t>Rosenberger G2WD-21</t>
  </si>
  <si>
    <t>1995 x 350 x 200</t>
  </si>
  <si>
    <t>(698-960/698-960/1695-2690)</t>
  </si>
  <si>
    <t>Rosenberger G2WHE-21</t>
  </si>
  <si>
    <t>(698-960/1695-2690/1695-2690) - проверить по каталгу - возможно задвоение с G4</t>
  </si>
  <si>
    <t>Rosenberger G3WC-21</t>
  </si>
  <si>
    <t>1449 x 379 x 189</t>
  </si>
  <si>
    <t>(698-960/1695-2690/1695-2690/1695-2690)</t>
  </si>
  <si>
    <t>Rosenberger G3WD-21</t>
  </si>
  <si>
    <t>1995 x 379 x 189</t>
  </si>
  <si>
    <t>Rosenberger G4WC-21</t>
  </si>
  <si>
    <t>1499 x 350 x 200</t>
  </si>
  <si>
    <t>Rosenberger G4WD-21</t>
  </si>
  <si>
    <t>Rosenberger G4WHE-21</t>
  </si>
  <si>
    <t>Rosenberger W33C-21</t>
  </si>
  <si>
    <t>1220 x 295 x 115</t>
  </si>
  <si>
    <t>Rotex RX1004M6R012</t>
  </si>
  <si>
    <t>2080 x 355 x 165</t>
  </si>
  <si>
    <t>Rotex RX1004M6R015</t>
  </si>
  <si>
    <t>1999 x 469 x 198</t>
  </si>
  <si>
    <t>Rotex RX1022M6R011</t>
  </si>
  <si>
    <t>(698-960/1710-2170/1710-2170/2490-2690/2490-2690)</t>
  </si>
  <si>
    <t>Rotex RX1022S6R011</t>
  </si>
  <si>
    <t>1499 x 355 x 165</t>
  </si>
  <si>
    <t>(694-960/1710-2170/1710-2170/2490-2690/2490-2690)</t>
  </si>
  <si>
    <t>Rotex RX1023M6R023v03</t>
  </si>
  <si>
    <t>2080 x 396 x 205</t>
  </si>
  <si>
    <t>(790-960/1710-2690/1710-2170/2490-2690/1710-1880/1920-2690)</t>
  </si>
  <si>
    <t>SuperWave 2G4WD-21-H</t>
  </si>
  <si>
    <t>2000 x 498 x 220</t>
  </si>
  <si>
    <t>SuperWave 4G4W33ME-21</t>
  </si>
  <si>
    <t>2438 x 630 x 220</t>
  </si>
  <si>
    <t>(698-960/698-960698-960/698-960/1695-2690/1695-2690/1695-2690/1695-2690)</t>
  </si>
  <si>
    <t>SuperWave G4WHE-21V</t>
  </si>
  <si>
    <t>2090 x 350 x 200</t>
  </si>
  <si>
    <t>SuperWave GUS2WC-21-RT</t>
  </si>
  <si>
    <t>1449 x 379 x 190</t>
  </si>
  <si>
    <t>(698-960/1710-220/2500-2690/1710-2690/1710-2690)</t>
  </si>
  <si>
    <t>SuperWave GW6030B-21</t>
  </si>
  <si>
    <t>650 x 350 x 200</t>
  </si>
  <si>
    <t>(698-2690)</t>
  </si>
  <si>
    <t>Tongyu T0002S6R011</t>
  </si>
  <si>
    <t>1360 x 320 x 105</t>
  </si>
  <si>
    <t>Tongyu T0002S6R013</t>
  </si>
  <si>
    <t>1460 x 270 x 140</t>
  </si>
  <si>
    <t>Tongyu T1002S6R012</t>
  </si>
  <si>
    <t>(698-960/1710-2690/1710-2690)</t>
  </si>
  <si>
    <t>Tongyu T1002W6R031</t>
  </si>
  <si>
    <t>760 x 355 x 165</t>
  </si>
  <si>
    <t>(694-960/1710-2690/1710-2690)</t>
  </si>
  <si>
    <t>Tongyu T1004S6R023</t>
  </si>
  <si>
    <t>1499 x 469 x 198</t>
  </si>
  <si>
    <t>Tongyu T2022S6R013</t>
  </si>
  <si>
    <t>1499 x 446 x 198</t>
  </si>
  <si>
    <t>(698-960/698-960/1710-2170/1710-2170/2490-2690/2490-2690)</t>
  </si>
  <si>
    <t>Tongyu TQB-609016/T172718DEI-65FT2</t>
  </si>
  <si>
    <t>2080 x 380 x 177</t>
  </si>
  <si>
    <t>(698-960/1710-2690/1710-2690/1710-2690)</t>
  </si>
  <si>
    <t>Tongyu TQBM-609016/172718/182018/252718DEI-65FT2</t>
  </si>
  <si>
    <t>1999 x 355 x 165</t>
  </si>
  <si>
    <t>(698-960/1710-2690/1710-2170/2490-2690)</t>
  </si>
  <si>
    <t>Tongyu TTB-609015/172717/172717DEH-65FT2v01</t>
  </si>
  <si>
    <t>1450 x 355 x 165</t>
  </si>
  <si>
    <t>Телеконта TK12-D358R</t>
  </si>
  <si>
    <t>1995 x 350 x 170</t>
  </si>
  <si>
    <t>(698-960/1710-2690/1710-2690/2490-2690)</t>
  </si>
  <si>
    <t>Телеконта TK12-D559R V1</t>
  </si>
  <si>
    <t>2195 x 335 x 165</t>
  </si>
  <si>
    <t>(1710-2170/1710-2170/2490-2690/2490-2690/2490-2690/2490-2690)</t>
  </si>
  <si>
    <t>Ericsson RRUS 01 B1 (2100)</t>
  </si>
  <si>
    <t>Радиоблок</t>
  </si>
  <si>
    <t>636 x 383 x 169</t>
  </si>
  <si>
    <t>Ericsson RRUS 11 B1 (2100)</t>
  </si>
  <si>
    <t>500 x 431 x 182</t>
  </si>
  <si>
    <t>Ericsson RRUS 11 B20 (800)</t>
  </si>
  <si>
    <t>Ericsson RRUS 11 B7 (2600)</t>
  </si>
  <si>
    <t>Ericsson RRUS 13 B31 (450)</t>
  </si>
  <si>
    <t>518 x 470 x 230</t>
  </si>
  <si>
    <t>Ericsson Radio 2217 B20 (800)</t>
  </si>
  <si>
    <t>351 x 298 x 138</t>
  </si>
  <si>
    <t>В мануале нет описания B20</t>
  </si>
  <si>
    <t>Ericsson Radio 2217 B7 (2600)</t>
  </si>
  <si>
    <t>Ericsson Radio 2219 B1 (2100)</t>
  </si>
  <si>
    <t>466 x 343 x 154</t>
  </si>
  <si>
    <t>Ericsson Radio 4415 B7 (2600)</t>
  </si>
  <si>
    <t>420 x 342 x 170</t>
  </si>
  <si>
    <t>Ericsson Radio 4418 B40 (2300)</t>
  </si>
  <si>
    <t>420 x 342 x 131</t>
  </si>
  <si>
    <t>Ericsson Radio 8863 B40 (2300)</t>
  </si>
  <si>
    <t>478 x 375 x 145</t>
  </si>
  <si>
    <t>Huawei RRU3268 (2600)</t>
  </si>
  <si>
    <t>400 x 300 x 100</t>
  </si>
  <si>
    <t>Huawei RRU3268 (800)</t>
  </si>
  <si>
    <t>Huawei RRU3281 (2600)</t>
  </si>
  <si>
    <t>400 x 300 x 150</t>
  </si>
  <si>
    <t>Huawei RRU3838 (2100)</t>
  </si>
  <si>
    <t>400 x 300 x 120</t>
  </si>
  <si>
    <t>Huawei RRU3938 (1800)</t>
  </si>
  <si>
    <t>Huawei RRU3938 (900)</t>
  </si>
  <si>
    <t>Huawei RRU3953 (1800)</t>
  </si>
  <si>
    <t>Без описания - по ФО 770124</t>
  </si>
  <si>
    <t>Huawei RRU3959 (1800)</t>
  </si>
  <si>
    <t>Huawei RRU3959 (900)</t>
  </si>
  <si>
    <t>Huawei RRU3965d (800/900)</t>
  </si>
  <si>
    <t>Huawei RRU3971 (1800)</t>
  </si>
  <si>
    <t>Huawei RRU3971 (2100)</t>
  </si>
  <si>
    <t>Huawei RRU5258 (2600)</t>
  </si>
  <si>
    <t>480 x 356 x 140</t>
  </si>
  <si>
    <t>Huawei RRU5301 (2600)</t>
  </si>
  <si>
    <t>Huawei RRU5501 (1800/2100)</t>
  </si>
  <si>
    <t>Huawei RRU5502 (1800/2100)</t>
  </si>
  <si>
    <t>Huawei RRU5508 (800/900)</t>
  </si>
  <si>
    <t>Huawei RRU5509t (800/900)</t>
  </si>
  <si>
    <t>Huawei RRU5513 (1800/2100)</t>
  </si>
  <si>
    <t>Huawei RRU5513t (1800/2100/2600)</t>
  </si>
  <si>
    <t>Huawei RRU5519et (700/800/900)</t>
  </si>
  <si>
    <t>Huawei RRU5818 (2600)</t>
  </si>
  <si>
    <t>Huawei RRU5901 (1800)</t>
  </si>
  <si>
    <t>Huawei RRU5904 (1800)</t>
  </si>
  <si>
    <t>Huawei RRU5904 (2100)</t>
  </si>
  <si>
    <t>Huawei RRU5905 (1800)</t>
  </si>
  <si>
    <t>Huawei RRU5909 (1800)</t>
  </si>
  <si>
    <t>Huawei RRU5909 (2100)</t>
  </si>
  <si>
    <t>Huawei RRU5909 (900)</t>
  </si>
  <si>
    <t>Huawei RRU5910 (900)</t>
  </si>
  <si>
    <t>Huawei RRU5915 (1800)</t>
  </si>
  <si>
    <t>Huawei RRU5915 (900)</t>
  </si>
  <si>
    <t>Huawei RRU5919 (900)</t>
  </si>
  <si>
    <t>Nokia RM AHHB (2600)</t>
  </si>
  <si>
    <t>428 x 322 x 184</t>
  </si>
  <si>
    <t>Nokia RM AHPMDB (900)</t>
  </si>
  <si>
    <t>652 x 327 x 169</t>
  </si>
  <si>
    <t>?</t>
  </si>
  <si>
    <t>Nokia RM AREA (1800)</t>
  </si>
  <si>
    <t>560 x 492 x 133</t>
  </si>
  <si>
    <t>с учетом корпуса от Flexi</t>
  </si>
  <si>
    <t>Nokia RM FHEL (1800)</t>
  </si>
  <si>
    <t>630 x 424 x 80</t>
  </si>
  <si>
    <t>Nokia RM FRGP (2100)</t>
  </si>
  <si>
    <t>Nokia RM FRGT (2100)</t>
  </si>
  <si>
    <t>Nokia RM FRHF (2600)</t>
  </si>
  <si>
    <t>Nokia RM FXDA (900)</t>
  </si>
  <si>
    <t>Nokia RM FXDB (900)</t>
  </si>
  <si>
    <t>Nokia RM FXEA (1800)</t>
  </si>
  <si>
    <t>Nokia RM FXEB (1800)</t>
  </si>
  <si>
    <t>Nokia RM FXED (1800)</t>
  </si>
  <si>
    <t>Nokia RM FXEF (1800)</t>
  </si>
  <si>
    <t>Nokia RM FZHA (2600)</t>
  </si>
  <si>
    <t>Nokia RRH AHEGB (1800/2100)</t>
  </si>
  <si>
    <t>560 x 308 x 149</t>
  </si>
  <si>
    <t>Nokia RRH FHDB (900)</t>
  </si>
  <si>
    <t>336 x 264 x 245</t>
  </si>
  <si>
    <t>Nokia RRH FHEA (1800)</t>
  </si>
  <si>
    <t>733 x 358 x 214</t>
  </si>
  <si>
    <t>Nokia RRH FHEB (1800)</t>
  </si>
  <si>
    <t>621 x 324 x 260</t>
  </si>
  <si>
    <t>Nokia RRH FRGQ (2100)</t>
  </si>
  <si>
    <t>486 x 324 x 155</t>
  </si>
  <si>
    <t>Nokia RRH FRHB (2600)</t>
  </si>
  <si>
    <t>514 x 326 x 148</t>
  </si>
  <si>
    <t>Nokia RRH FRHE (2600)</t>
  </si>
  <si>
    <t>460 x 387 x 167</t>
  </si>
  <si>
    <t>Nokia RRH FRHG (2600)</t>
  </si>
  <si>
    <t>880 x 331 x 200</t>
  </si>
  <si>
    <t>Nokia RRH FRMB (800)</t>
  </si>
  <si>
    <t>2 порта?</t>
  </si>
  <si>
    <t>Nokia RRH FZHI (2600)</t>
  </si>
  <si>
    <t>355 x 441 x 203</t>
  </si>
  <si>
    <t>Первые 2 габарита перепроверить</t>
  </si>
  <si>
    <t>AYAA (GPS)</t>
  </si>
  <si>
    <t>Прочее (АФУ)</t>
  </si>
  <si>
    <t>95 x 10 x 10</t>
  </si>
  <si>
    <t>Action DB Combiner AT050201172643F-1 (1800-2100/2600)</t>
  </si>
  <si>
    <t>233 x 110 x 41</t>
  </si>
  <si>
    <t>Габарит по креплению (сам модуль без разъемов: 133*110*41)(2 --&gt; 1)</t>
  </si>
  <si>
    <t>Action DU Filter AT-F813M06MV000 (800)</t>
  </si>
  <si>
    <t>475 x 247 x 200</t>
  </si>
  <si>
    <t>Action Triplexer AT050301072643F-1</t>
  </si>
  <si>
    <t>168 x 147 x 51</t>
  </si>
  <si>
    <t>(3 --&gt; 1)</t>
  </si>
  <si>
    <t>Comba CM-KY2-OD4B (1800-2100/2300-2600)</t>
  </si>
  <si>
    <t>275 x 121 x 90</t>
  </si>
  <si>
    <t>(2 --&gt; 1)</t>
  </si>
  <si>
    <t>Comba FP-B06D-OD01 (800 Filter)</t>
  </si>
  <si>
    <t>324 x 165 x 106</t>
  </si>
  <si>
    <t>Dawn R10217 (2600/2600)</t>
  </si>
  <si>
    <t>142 x 139 x 35</t>
  </si>
  <si>
    <t>Что это?</t>
  </si>
  <si>
    <t>Ericsson Baseband 6318</t>
  </si>
  <si>
    <t>420 x 350 x 123</t>
  </si>
  <si>
    <t>FYGC (GPS)</t>
  </si>
  <si>
    <t>181 x 84 x 84</t>
  </si>
  <si>
    <t>FiberHome FHTC-1710-2690-3-300M01/W (1800/2100/2300-2600)</t>
  </si>
  <si>
    <t>237 x 169 x 103</t>
  </si>
  <si>
    <t>(6 --&gt; 2)</t>
  </si>
  <si>
    <t>GPSGL-TMG-SPI-40NCB (GPS)</t>
  </si>
  <si>
    <t>184 x 81 x 81</t>
  </si>
  <si>
    <t>Hilinks 96021367 DB Combiner (1800-2100/2600)</t>
  </si>
  <si>
    <t>145 x 123 x 53</t>
  </si>
  <si>
    <t>232 - с учетом крепления, без него - 145 (2 --&gt; 1)</t>
  </si>
  <si>
    <t>Hilinks 96024787 DB Combiner (1800/2100)</t>
  </si>
  <si>
    <t>162 x 150 x 51</t>
  </si>
  <si>
    <t>247 - с учетом крепления, без него - 162 (2 --&gt; 1)</t>
  </si>
  <si>
    <t>Hilinks 96025437 DB Combiner (800/900)</t>
  </si>
  <si>
    <t>171 x 170 x 106</t>
  </si>
  <si>
    <t>255 - с учетом крепления, без него - 184 (2 --&gt; 1)</t>
  </si>
  <si>
    <t>Hilinks 96333174 Dual (800 Filter)</t>
  </si>
  <si>
    <t>254 x 197 x 126</t>
  </si>
  <si>
    <t>339 - с учетом крепления, без него - 254</t>
  </si>
  <si>
    <t>Huawei BBU5900A</t>
  </si>
  <si>
    <t>400 x 380 x 160</t>
  </si>
  <si>
    <t>Kathrein 782 10640 (300-900/1800/2100/2600)</t>
  </si>
  <si>
    <t>228 x 214 x 52</t>
  </si>
  <si>
    <t>без коннекторов и крепления (описание есть отдельно и в каталоге 2015) (4 --&gt; 1)</t>
  </si>
  <si>
    <t>MicTelecom Diplexer MI-22703 (800/900)</t>
  </si>
  <si>
    <t>166 x 130 x 57</t>
  </si>
  <si>
    <t>MicTelecom MI-20102 (1800/2100)</t>
  </si>
  <si>
    <t>150 x 142 x 50</t>
  </si>
  <si>
    <t>MicTelecom MI-20204 (1800-2100/2600)</t>
  </si>
  <si>
    <t>126 x 110 x 52</t>
  </si>
  <si>
    <t>MicTelecom MI-28611 (800 Filter)</t>
  </si>
  <si>
    <t>350 x 108 x 63</t>
  </si>
  <si>
    <t>ModTC DB Combiner Dual CD2-BE-43 (800/900)</t>
  </si>
  <si>
    <t>198 x 180 x 119</t>
  </si>
  <si>
    <t>(4 --&gt; 2)</t>
  </si>
  <si>
    <t>ModTC DB Combiner Single CS2 VV (2600/2600)</t>
  </si>
  <si>
    <t>200 x 163 x 50</t>
  </si>
  <si>
    <t>ModTC Diplexer CS2-RV-43 (1800-2100/2600)</t>
  </si>
  <si>
    <t>122 x 119 x 54</t>
  </si>
  <si>
    <t>Nokia SM ESMB</t>
  </si>
  <si>
    <t>Nokia SM ESMC</t>
  </si>
  <si>
    <t>Nokia SM FSME</t>
  </si>
  <si>
    <t>Nokia SM FSMF</t>
  </si>
  <si>
    <t>Noname Diplexer 1800-2100/2600</t>
  </si>
  <si>
    <t>117 x 116 x 49</t>
  </si>
  <si>
    <t>S-WAVE BSA10166 Combiner Double (800/900)</t>
  </si>
  <si>
    <t>137 x 134 x 116</t>
  </si>
  <si>
    <t>Производитель неизвестен (4 --&gt; 2)</t>
  </si>
  <si>
    <t>Te2 GPS/GLONASS sync syst RBS GPS 04</t>
  </si>
  <si>
    <t>65 x 65 x 10</t>
  </si>
  <si>
    <t>Tongyu TYT-C122D001 (F1V2)</t>
  </si>
  <si>
    <t>126 x 103 x 102</t>
  </si>
  <si>
    <t>Комбайнер Te2 (2100/2300)</t>
  </si>
  <si>
    <t>Комбайнер Te2 (2100/2600)</t>
  </si>
  <si>
    <t>ССД МКО-П1/С09-10SC</t>
  </si>
  <si>
    <t>247 x 159 x 46</t>
  </si>
  <si>
    <t>ССД МКО-П3/А-20SC</t>
  </si>
  <si>
    <t>330 x 245 x 105</t>
  </si>
  <si>
    <t>Телеконта TK-YLCB-08/09-DIN-W (800/900)</t>
  </si>
  <si>
    <t>214 x 142 x 55</t>
  </si>
  <si>
    <t>Предположительно не верные размеры в описании (2 --&gt; 1)</t>
  </si>
  <si>
    <t>Телеконта УАФП-2</t>
  </si>
  <si>
    <t>320 x 165 x 70</t>
  </si>
  <si>
    <t>Телеконта УАФП-4.3</t>
  </si>
  <si>
    <t>ACOC</t>
  </si>
  <si>
    <t>Климатический шкаф</t>
  </si>
  <si>
    <t>620 x 600 x 426</t>
  </si>
  <si>
    <t>Huawei APM30H Ver.D (Cabinet)</t>
  </si>
  <si>
    <t>700 x 600 x 480</t>
  </si>
  <si>
    <t>Без цоколя 200*600*434</t>
  </si>
  <si>
    <t>Huawei IBBS200D Ver.D (Cabinet)</t>
  </si>
  <si>
    <t>Huawei OMB</t>
  </si>
  <si>
    <t>600 x 390 x 240</t>
  </si>
  <si>
    <t>Huawei OMB Ver.C</t>
  </si>
  <si>
    <t>600 x 430 x 240</t>
  </si>
  <si>
    <t>Huawei TP48200A-DX09D-4.3</t>
  </si>
  <si>
    <t>870 x 700 x 650</t>
  </si>
  <si>
    <t>Huawei TP48200A-DX09D5</t>
  </si>
  <si>
    <t>1000 x 650 x 650</t>
  </si>
  <si>
    <t>Nokia AMOD</t>
  </si>
  <si>
    <t>665 x 488 x 487</t>
  </si>
  <si>
    <t>пустой - 37,5кг</t>
  </si>
  <si>
    <t>Интеркросс ЕРЯА.301442 H2</t>
  </si>
  <si>
    <t>Интеркросс ЕРЯА.301442.105-02</t>
  </si>
  <si>
    <t>Интеркросс ЕРЯА.301442.112</t>
  </si>
  <si>
    <t>660 x 630 x 550</t>
  </si>
  <si>
    <t>Без цоколя - 605х600х400мм оп описанию. Размеры слева - по факту</t>
  </si>
  <si>
    <t>Интеркросс ЕРЯА.301442.543</t>
  </si>
  <si>
    <t>Интеркросс ЕРЯА.301442.604 Тип 5.1</t>
  </si>
  <si>
    <t>845 x 710 x 700</t>
  </si>
  <si>
    <t>Интеркросс ЕРЯА.301442.605 Тип 5.2</t>
  </si>
  <si>
    <t>Интеркросс ЕРЯА.301442.662-01</t>
  </si>
  <si>
    <t>1103 x 830 x 820</t>
  </si>
  <si>
    <t>Цоколь принят 100мм, крышка - 40мм</t>
  </si>
  <si>
    <t>Интеркросс ЕРЯА.301442.662-03</t>
  </si>
  <si>
    <t>1133 x 830 x 740</t>
  </si>
  <si>
    <t>Цоколь принят 100мм, крышка - 40мм. Импорт 2 раза???</t>
  </si>
  <si>
    <t>ТДИ (Интеркросс) РГДМ.ЕРЯА.301442.116</t>
  </si>
  <si>
    <t>795 x 609 x 330</t>
  </si>
  <si>
    <t>ТДИ РГДМ.469674.009</t>
  </si>
  <si>
    <t>1013 x 830 x 710</t>
  </si>
  <si>
    <t>ТДИ РГДМ.469674.014</t>
  </si>
  <si>
    <t>1100 x 750 x 650</t>
  </si>
  <si>
    <t>ТДИ РГДМ.469674.019-02</t>
  </si>
  <si>
    <t>1280 x 1143 x 850</t>
  </si>
  <si>
    <t>Без цоколя - 1100мм по описанию</t>
  </si>
  <si>
    <t>ТДИ РГДМ.469674.028 Тип 5.1</t>
  </si>
  <si>
    <t>860 x 750 x 700</t>
  </si>
  <si>
    <t>Вес указан приблизительно</t>
  </si>
  <si>
    <t>ТДИ РГДМ.469674.029 Тип 5.2</t>
  </si>
  <si>
    <t>ТДИ РГДМ.469674.040 Тип 5.1</t>
  </si>
  <si>
    <t>915 x 857 x 760</t>
  </si>
  <si>
    <t>ТДИ РГДМ.469674.041 Тип 5.2</t>
  </si>
  <si>
    <t>ТелекомГрупп Guardian M MF-21 15U</t>
  </si>
  <si>
    <t>816 x 720 x 716</t>
  </si>
  <si>
    <t>ТелекомГрупп Guardian M MF-21 5U</t>
  </si>
  <si>
    <t>726 x 654 x 371</t>
  </si>
  <si>
    <t>ТелекомГрупп Guardian M OD MTS A5 AIR.1.0.1</t>
  </si>
  <si>
    <t>1251 x 869 x 760</t>
  </si>
  <si>
    <t>МТС утверждает, что будут ставить без цоколя. Необходимо проверить по ФО</t>
  </si>
  <si>
    <t>ТелекомГрупп Guardian M TL2-19 17U A5.1</t>
  </si>
  <si>
    <t>911 x 714 x 711</t>
  </si>
  <si>
    <t>ТелекомГрупп Guardian M TL2-19 17U A5.2</t>
  </si>
  <si>
    <t>ТелекомГрупп Guardian M VK22 7U</t>
  </si>
  <si>
    <t>696 x 610 x 350</t>
  </si>
  <si>
    <t>В шифре "К" латинская - поменять после миграции  в БП</t>
  </si>
  <si>
    <t>ТелекомГрупп Guardian M VK23 18U</t>
  </si>
  <si>
    <t>1150 x 770 x 650</t>
  </si>
  <si>
    <t>ЭНЕЛТ.ШТК.554.1В (MTS)</t>
  </si>
  <si>
    <t>540 x 520 x 440</t>
  </si>
  <si>
    <t>ЭНЕЛТ.ШТК.554.1В (MgF)</t>
  </si>
  <si>
    <t>575 x 546 x 246</t>
  </si>
  <si>
    <t>Энергомера ST-OU-T2-5.2-V-19</t>
  </si>
  <si>
    <t>890 x 810 x 650</t>
  </si>
  <si>
    <t>без крышки по ширине и крепления по глубине</t>
  </si>
  <si>
    <t>Энергомера ST-OU-VPC-1-V-22</t>
  </si>
  <si>
    <t>1300 x 750 x 750</t>
  </si>
  <si>
    <t>DC box (48В)</t>
  </si>
  <si>
    <t>Прочее (ЭС)</t>
  </si>
  <si>
    <t>300 x 210 x 150</t>
  </si>
  <si>
    <t>Со слов одного из ПО (ПИЛЛАР)</t>
  </si>
  <si>
    <t>Enelt ENELT.LIIONOB5048.01</t>
  </si>
  <si>
    <t>445 x 345 x 234</t>
  </si>
  <si>
    <t>Enelt ENELT.OP2000BS</t>
  </si>
  <si>
    <t>445 x 345 x 97</t>
  </si>
  <si>
    <t>Huawei DBU20B</t>
  </si>
  <si>
    <t>420 x 300 x 120</t>
  </si>
  <si>
    <t>Huawei DBU40B</t>
  </si>
  <si>
    <t>420 x 305 x 120</t>
  </si>
  <si>
    <t>Huawei DBU50B</t>
  </si>
  <si>
    <t>Huawei DPU40D</t>
  </si>
  <si>
    <t>400 x 300 x 50</t>
  </si>
  <si>
    <t>Huawei IBBS20L</t>
  </si>
  <si>
    <t>Huawei OPM40M (OPM30M Ver. B)</t>
  </si>
  <si>
    <t>400 x 300 x 60</t>
  </si>
  <si>
    <t>Huawei OPM50M</t>
  </si>
  <si>
    <t>Nokia FPFH</t>
  </si>
  <si>
    <t>Nokia FPMA</t>
  </si>
  <si>
    <t>ВРУ-380-1 (0,4кВ)</t>
  </si>
  <si>
    <t>600 x 400 x 220</t>
  </si>
  <si>
    <t>Мегафон вместо РЩ-ВЕРТ</t>
  </si>
  <si>
    <t>РЩ-Верт (0,4кВ)</t>
  </si>
  <si>
    <t>950 x 300 x 210</t>
  </si>
  <si>
    <t>ЩР НГС (0,4кВ)</t>
  </si>
  <si>
    <t>600 x 400 x 200</t>
  </si>
  <si>
    <t>ЩУ-Te2 (0,4кВ)</t>
  </si>
  <si>
    <t>500 x 325 x 180</t>
  </si>
  <si>
    <t>Поменять "ТЕ" на латиницу после миграции. Габарит - со слов одного из ПО (ПИЛЛАР)</t>
  </si>
  <si>
    <t>ЩУБС-1Д (0,4кВ)</t>
  </si>
  <si>
    <t>600 x 600 x 246</t>
  </si>
  <si>
    <t>ЩУБС-1ДМ (0,4кВ)</t>
  </si>
  <si>
    <t>500 x 400 x 220</t>
  </si>
  <si>
    <t>ЩУБС-1Ф-М.30 (0,4кВ)</t>
  </si>
  <si>
    <t>ЩУБС-3Ф-Э.30-Д (0,4кВ)</t>
  </si>
  <si>
    <t>ЩУГ-3 (0,4кВ)</t>
  </si>
  <si>
    <t>395 x 310 x 220</t>
  </si>
  <si>
    <t>Кабель антенны РРС</t>
  </si>
  <si>
    <t>Кабель</t>
  </si>
  <si>
    <t>Кабель питания (AC)</t>
  </si>
  <si>
    <t>Не задано</t>
  </si>
  <si>
    <t>ПАО "ВымпелКом"</t>
  </si>
  <si>
    <t>Зарезервировано (запрошено)</t>
  </si>
  <si>
    <t>Одиночно</t>
  </si>
  <si>
    <t>ПАО "МТС"</t>
  </si>
  <si>
    <t>Зарезервировано (демонтаж в развитии)</t>
  </si>
  <si>
    <t>Совмещённо</t>
  </si>
  <si>
    <t>ПАО "МегаФон"</t>
  </si>
  <si>
    <t>Зарезервировано (перенос в развитии)</t>
  </si>
  <si>
    <t>Кассетно (Ericsson)</t>
  </si>
  <si>
    <t>ООО "Т2 Мобайл"</t>
  </si>
  <si>
    <t>Размещено</t>
  </si>
  <si>
    <t>Стэком (Nokia)</t>
  </si>
  <si>
    <t>Размещено (демонтаж в развитии)</t>
  </si>
  <si>
    <t>Комбинированно (Huawei)</t>
  </si>
  <si>
    <t>Размещено (перенос в развитии)</t>
  </si>
  <si>
    <t>Внутри ОДН</t>
  </si>
  <si>
    <t>Подлежит демонтажу</t>
  </si>
  <si>
    <t>Снаружи ОДН</t>
  </si>
  <si>
    <t>Демонтировано</t>
  </si>
  <si>
    <t>В коробе</t>
  </si>
  <si>
    <t>Перенесено</t>
  </si>
  <si>
    <t>В развитии (резерв)</t>
  </si>
  <si>
    <t>Кабели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</si>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</sst>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;@"/>
    <numFmt numFmtId="165" formatCode="0.0"/>
  </numFmts>
  <fonts count="10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  <font>
      <b/>
      <u/>
      <charset val="204"/>
      <color rgb="FFA20000"/>
      <family val="2"/>
      <scheme val="minor"/>
      <sz val="14"/>
      <name val="Calibri"/>
    </font>
    <font>
      <b/>
      <charset val="204"/>
      <color rgb="FFA20000"/>
      <family val="2"/>
      <scheme val="minor"/>
      <sz val="14"/>
      <name val="Calibri"/>
    </font>
    <font>
      <b/>
      <charset val="204"/>
      <color theme="1"/>
      <family val="2"/>
      <scheme val="minor"/>
      <sz val="11"/>
      <name val="Calibri"/>
    </font>
    <font>
      <b/>
      <u/>
      <charset val="204"/>
      <color theme="10"/>
      <family val="2"/>
      <scheme val="minor"/>
      <sz val="14"/>
      <name val="Calibri"/>
    </font>
    <font>
      <b/>
      <charset val="204"/>
      <color theme="1"/>
      <family val="2"/>
      <scheme val="minor"/>
      <sz val="14"/>
      <name val="Calibri"/>
    </font>
    <font>
      <charset val="204"/>
      <family val="2"/>
      <scheme val="minor"/>
      <sz val="9"/>
      <name val="Calibri"/>
    </font>
    <font>
      <charset val="204"/>
      <color rgb="FFFF0000"/>
      <family val="2"/>
      <scheme val="minor"/>
      <sz val="11"/>
      <name val="Calibri"/>
    </font>
    <font>
      <b/>
      <charset val="204"/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77111117893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 applyProtection="1">
      <alignment horizontal="center" vertical="center"/>
      <protection locked="0" hidden="1"/>
    </xf>
    <xf numFmtId="0" fontId="7" fillId="3" borderId="6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/>
    </xf>
    <xf numFmtId="0" fontId="7" fillId="3" borderId="11" xfId="0" applyFont="1" applyFill="1" applyBorder="1" applyAlignment="1">
      <alignment horizontal="left" vertical="top"/>
    </xf>
    <xf numFmtId="0" fontId="4" fillId="3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 applyProtection="1">
      <alignment horizontal="center" vertical="center"/>
      <protection locked="0" hidden="1"/>
    </xf>
    <xf numFmtId="0" fontId="7" fillId="3" borderId="0" xfId="0" applyFont="1" applyFill="1" applyAlignment="1">
      <alignment horizontal="left" vertical="top"/>
    </xf>
    <xf numFmtId="0" fontId="7" fillId="3" borderId="16" xfId="0" applyFont="1" applyFill="1" applyBorder="1" applyAlignment="1">
      <alignment horizontal="left" vertical="top"/>
    </xf>
    <xf numFmtId="0" fontId="4" fillId="3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 applyProtection="1">
      <alignment horizontal="center" vertical="center"/>
      <protection locked="0" hidden="1"/>
    </xf>
    <xf numFmtId="0" fontId="1" fillId="4" borderId="1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3" borderId="19" xfId="0" applyFont="1" applyFill="1" applyBorder="1" applyAlignment="1">
      <alignment horizontal="left" vertical="top"/>
    </xf>
    <xf numFmtId="0" fontId="4" fillId="3" borderId="20" xfId="0" applyFont="1" applyFill="1" applyBorder="1" applyAlignment="1">
      <alignment horizontal="center" vertical="center"/>
    </xf>
    <xf numFmtId="0" fontId="1" fillId="0" borderId="21" xfId="0" applyFont="1" applyBorder="1" applyAlignment="1" applyProtection="1">
      <alignment horizontal="center" vertical="center"/>
      <protection locked="0" hidden="1"/>
    </xf>
    <xf numFmtId="0" fontId="7" fillId="3" borderId="22" xfId="0" applyFont="1" applyFill="1" applyBorder="1" applyAlignment="1">
      <alignment horizontal="left" vertical="top"/>
    </xf>
    <xf numFmtId="0" fontId="7" fillId="3" borderId="23" xfId="0" applyFont="1" applyFill="1" applyBorder="1" applyAlignment="1">
      <alignment horizontal="left" vertical="top"/>
    </xf>
    <xf numFmtId="0" fontId="7" fillId="3" borderId="18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" fontId="1" fillId="0" borderId="0" xfId="0" applyNumberFormat="1" applyFont="1" applyAlignment="1" applyProtection="1">
      <alignment horizontal="center" vertical="center"/>
      <protection locked="0" hidden="1"/>
    </xf>
    <xf numFmtId="165" fontId="1" fillId="0" borderId="0" xfId="0" applyNumberFormat="1" applyFont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 hidden="1"/>
    </xf>
    <xf numFmtId="0" fontId="1" fillId="0" borderId="19" xfId="0" applyFont="1" applyBorder="1" applyAlignment="1" applyProtection="1">
      <alignment horizontal="center" vertical="center"/>
      <protection locked="0" hidden="1"/>
    </xf>
    <xf numFmtId="165" fontId="1" fillId="0" borderId="0" xfId="0" applyNumberFormat="1" applyFont="1" applyAlignment="1" applyProtection="1">
      <alignment horizontal="center" vertical="center"/>
      <protection locked="0" hidden="1"/>
    </xf>
    <xf numFmtId="0" fontId="1" fillId="0" borderId="22" xfId="0" applyFont="1" applyBorder="1" applyAlignment="1" applyProtection="1">
      <alignment horizontal="center" vertical="center"/>
      <protection locked="0" hidden="1"/>
    </xf>
    <xf numFmtId="0" fontId="1" fillId="0" borderId="23" xfId="0" applyFont="1" applyBorder="1" applyAlignment="1">
      <alignment horizontal="center" vertical="center"/>
    </xf>
    <xf numFmtId="1" fontId="1" fillId="0" borderId="23" xfId="0" applyNumberFormat="1" applyFont="1" applyBorder="1" applyAlignment="1" applyProtection="1">
      <alignment horizontal="center" vertical="center"/>
      <protection locked="0" hidden="1"/>
    </xf>
    <xf numFmtId="165" fontId="1" fillId="0" borderId="23" xfId="0" applyNumberFormat="1" applyFont="1" applyBorder="1" applyAlignment="1" applyProtection="1">
      <alignment horizontal="center" vertical="center"/>
      <protection locked="0" hidden="1"/>
    </xf>
    <xf numFmtId="0" fontId="1" fillId="0" borderId="18" xfId="0" applyFont="1" applyBorder="1" applyAlignment="1" applyProtection="1">
      <alignment horizontal="center" vertical="center"/>
      <protection locked="0" hidden="1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theme="7" tint="0.5999633777886288"/>
        </patternFill>
      </fill>
    </dxf>
    <dxf>
      <font/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3999450666829432"/>
        </patternFill>
      </fill>
    </dxf>
    <dxf>
      <fill>
        <patternFill>
          <bgColor rgb="FFFFA7A7"/>
        </patternFill>
      </fill>
    </dxf>
    <dxf>
      <fill>
        <patternFill>
          <bgColor theme="7" tint="0.3999450666829432"/>
        </patternFill>
      </fill>
    </dxf>
    <dxf>
      <font/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Таблица2" displayName="Таблица2" ref="A1:G34" totalsRowShown="1" headerRowCount="0">
  <autoFilter ref="A1:G34">
    <filterColumn colId="0" hiddenButton="1"/>
  </autoFilter>
  <tableColumns count="1">
    <tableColumn id="1" name="Объект размещения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Таблица5" displayName="Таблица5" ref="C12:H43" totalsRowShown="1" headerRowCount="0">
  <autoFilter ref="C12:H43">
    <filterColumn colId="0" hiddenButton="1"/>
    <filterColumn colId="1" hiddenButton="1"/>
  </autoFilter>
  <tableColumns count="2">
    <tableColumn id="1" name="Оборудование"/>
    <tableColumn id="2" name="Тип оборудования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Таблица4" displayName="Таблица4" ref="A1:M2" totalsRowShown="1" headerRowCount="0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#"/>
    <tableColumn id="2" name="Наименование"/>
    <tableColumn id="3" name="Тип оборудования"/>
    <tableColumn id="4" name="Высота"/>
    <tableColumn id="5" name="Ширина"/>
    <tableColumn id="6" name="Глубина"/>
    <tableColumn id="7" name="Диаметр"/>
    <tableColumn id="8" name="Вес"/>
    <tableColumn id="9" name="Габарит (текст.)"/>
    <tableColumn id="10" name="Особое примечание"/>
    <tableColumn id="11" name="Кол-во портов"/>
    <tableColumn id="12" name="Площадь (расч.)"/>
    <tableColumn id="13" name="Примечание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4"/>
  <sheetViews>
    <sheetView workbookViewId="0" zoomScale="100" zoomScaleNormal="100">
      <selection activeCell="J10" sqref="J10"/>
    </sheetView>
  </sheetViews>
  <sheetFormatPr defaultRowHeight="15" outlineLevelRow="0" outlineLevelCol="0" x14ac:dyDescent="0.25"/>
  <cols>
    <col min="1" max="1" width="21.85546875" style="1" customWidth="1"/>
    <col min="2" max="2" width="19.42578125" style="1" customWidth="1"/>
    <col min="3" max="3" width="25.42578125" style="1" customWidth="1"/>
    <col min="4" max="4" width="9.42578125" style="1" customWidth="1"/>
    <col min="5" max="5" width="39.42578125" style="1" customWidth="1"/>
    <col min="6" max="6" width="17.42578125" style="1" customWidth="1"/>
    <col min="7" max="7" width="34" style="1" customWidth="1"/>
    <col min="8" max="16384" width="9.14062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tr">
        <f>IF(OR(ISBLANK(Таблица2[[#This Row],[Оборудование]]),Таблица2[[#This Row],[Оборудование]]=""),"",'Спецификация для запроса ТУ'!$D$7)</f>
        <v>-?-</v>
      </c>
      <c r="B2" s="2" t="str">
        <f>IF(OR(ISBLANK(Таблица2[[#This Row],[Оборудование]]),Таблица2[[#This Row],[Оборудование]]=""),"",'Спецификация для запроса ТУ'!$D$6)</f>
        <v>-?-</v>
      </c>
      <c r="C2" s="2" t="str">
        <f>IF(ISBLANK('Спецификация для запроса ТУ'!C13),"",'Спецификация для запроса ТУ'!C13)</f>
        <v>Радиочастотный кабель</v>
      </c>
      <c r="D2" s="2" t="str">
        <f>IF(OR(ISBLANK(Таблица2[[#This Row],[Оборудование]]),Таблица2[[#This Row],[Оборудование]]=""),"",'Спецификация для запроса ТУ'!F13)</f>
        <v>-?-</v>
      </c>
      <c r="E2" s="2" t="str">
        <f>IF(OR(ISBLANK(Таблица2[[#This Row],[Оборудование]]),Таблица2[[#This Row],[Оборудование]]=""),"",'Спецификация для запроса ТУ'!H13)</f>
        <v>-?-</v>
      </c>
      <c r="F2" s="2">
        <f>IF(IF(OR(ISBLANK(Таблица2[[#This Row],[Оборудование]]),Таблица2[[#This Row],[Оборудование]]=""),"",'Спецификация для запроса ТУ'!G13)="-","",IF(OR(ISBLANK(Таблица2[[#This Row],[Оборудование]]),Таблица2[[#This Row],[Оборудование]]=""),"",'Спецификация для запроса ТУ'!G13))</f>
      </c>
      <c r="G2" s="2" t="str">
        <f>IF(OR(ISBLANK(Таблица2[[#This Row],[Оборудование]]),Таблица2[[#This Row],[Оборудование]]=""),"","Не задано")</f>
        <v>Не задано</v>
      </c>
    </row>
    <row r="3" spans="1:7" x14ac:dyDescent="0.25">
      <c r="A3" s="2" t="str">
        <f>IF(OR(ISBLANK(Таблица2[[#This Row],[Оборудование]]),Таблица2[[#This Row],[Оборудование]]=""),"",'Спецификация для запроса ТУ'!$D$7)</f>
        <v>-?-</v>
      </c>
      <c r="B3" s="2" t="str">
        <f>IF(OR(ISBLANK(Таблица2[[#This Row],[Оборудование]]),Таблица2[[#This Row],[Оборудование]]=""),"",'Спецификация для запроса ТУ'!$D$6)</f>
        <v>-?-</v>
      </c>
      <c r="C3" s="2" t="str">
        <f>IF(ISBLANK('Спецификация для запроса ТУ'!C14),"",'Спецификация для запроса ТУ'!C14)</f>
        <v>Оптический кабель</v>
      </c>
      <c r="D3" s="2" t="str">
        <f>IF(OR(ISBLANK(Таблица2[[#This Row],[Оборудование]]),Таблица2[[#This Row],[Оборудование]]=""),"",'Спецификация для запроса ТУ'!F14)</f>
        <v>-?-</v>
      </c>
      <c r="E3" s="2" t="str">
        <f>IF(OR(ISBLANK(Таблица2[[#This Row],[Оборудование]]),Таблица2[[#This Row],[Оборудование]]=""),"",'Спецификация для запроса ТУ'!H14)</f>
        <v>-?-</v>
      </c>
      <c r="F3" s="2">
        <f>IF(IF(OR(ISBLANK(Таблица2[[#This Row],[Оборудование]]),Таблица2[[#This Row],[Оборудование]]=""),"",'Спецификация для запроса ТУ'!G14)="-","",IF(OR(ISBLANK(Таблица2[[#This Row],[Оборудование]]),Таблица2[[#This Row],[Оборудование]]=""),"",'Спецификация для запроса ТУ'!G14))</f>
      </c>
      <c r="G3" s="2" t="str">
        <f>IF(OR(ISBLANK(Таблица2[[#This Row],[Оборудование]]),Таблица2[[#This Row],[Оборудование]]=""),"","Не задано")</f>
        <v>Не задано</v>
      </c>
    </row>
    <row r="4" spans="1:7" x14ac:dyDescent="0.25">
      <c r="A4" s="2" t="str">
        <f>IF(OR(ISBLANK(Таблица2[[#This Row],[Оборудование]]),Таблица2[[#This Row],[Оборудование]]=""),"",'Спецификация для запроса ТУ'!$D$7)</f>
        <v>-?-</v>
      </c>
      <c r="B4" s="2" t="str">
        <f>IF(OR(ISBLANK(Таблица2[[#This Row],[Оборудование]]),Таблица2[[#This Row],[Оборудование]]=""),"",'Спецификация для запроса ТУ'!$D$6)</f>
        <v>-?-</v>
      </c>
      <c r="C4" s="2" t="str">
        <f>IF(ISBLANK('Спецификация для запроса ТУ'!C15),"",'Спецификация для запроса ТУ'!C15)</f>
        <v>Кабель питания (DC)</v>
      </c>
      <c r="D4" s="2" t="str">
        <f>IF(OR(ISBLANK(Таблица2[[#This Row],[Оборудование]]),Таблица2[[#This Row],[Оборудование]]=""),"",'Спецификация для запроса ТУ'!F15)</f>
        <v>-?-</v>
      </c>
      <c r="E4" s="2" t="str">
        <f>IF(OR(ISBLANK(Таблица2[[#This Row],[Оборудование]]),Таблица2[[#This Row],[Оборудование]]=""),"",'Спецификация для запроса ТУ'!H15)</f>
        <v>-?-</v>
      </c>
      <c r="F4" s="2">
        <f>IF(IF(OR(ISBLANK(Таблица2[[#This Row],[Оборудование]]),Таблица2[[#This Row],[Оборудование]]=""),"",'Спецификация для запроса ТУ'!G15)="-","",IF(OR(ISBLANK(Таблица2[[#This Row],[Оборудование]]),Таблица2[[#This Row],[Оборудование]]=""),"",'Спецификация для запроса ТУ'!G15))</f>
      </c>
      <c r="G4" s="2" t="str">
        <f>IF(OR(ISBLANK(Таблица2[[#This Row],[Оборудование]]),Таблица2[[#This Row],[Оборудование]]=""),"","Не задано")</f>
        <v>Не задано</v>
      </c>
    </row>
    <row r="5" spans="1:7" x14ac:dyDescent="0.25">
      <c r="A5" s="2" t="str">
        <f>IF(OR(ISBLANK(Таблица2[[#This Row],[Оборудование]]),Таблица2[[#This Row],[Оборудование]]=""),"",'Спецификация для запроса ТУ'!$D$7)</f>
        <v>-?-</v>
      </c>
      <c r="B5" s="2" t="str">
        <f>IF(OR(ISBLANK(Таблица2[[#This Row],[Оборудование]]),Таблица2[[#This Row],[Оборудование]]=""),"",'Спецификация для запроса ТУ'!$D$6)</f>
        <v>-?-</v>
      </c>
      <c r="C5" s="2" t="str">
        <f>IF(ISBLANK('Спецификация для запроса ТУ'!C16),"",'Спецификация для запроса ТУ'!C16)</f>
        <v>Кабель управления RET</v>
      </c>
      <c r="D5" s="2" t="str">
        <f>IF(OR(ISBLANK(Таблица2[[#This Row],[Оборудование]]),Таблица2[[#This Row],[Оборудование]]=""),"",'Спецификация для запроса ТУ'!F16)</f>
        <v>-?-</v>
      </c>
      <c r="E5" s="2" t="str">
        <f>IF(OR(ISBLANK(Таблица2[[#This Row],[Оборудование]]),Таблица2[[#This Row],[Оборудование]]=""),"",'Спецификация для запроса ТУ'!H16)</f>
        <v>-?-</v>
      </c>
      <c r="F5" s="2">
        <f>IF(IF(OR(ISBLANK(Таблица2[[#This Row],[Оборудование]]),Таблица2[[#This Row],[Оборудование]]=""),"",'Спецификация для запроса ТУ'!G16)="-","",IF(OR(ISBLANK(Таблица2[[#This Row],[Оборудование]]),Таблица2[[#This Row],[Оборудование]]=""),"",'Спецификация для запроса ТУ'!G16))</f>
      </c>
      <c r="G5" s="2" t="str">
        <f>IF(OR(ISBLANK(Таблица2[[#This Row],[Оборудование]]),Таблица2[[#This Row],[Оборудование]]=""),"","Не задано")</f>
        <v>Не задано</v>
      </c>
    </row>
    <row r="6" spans="1:7" x14ac:dyDescent="0.25">
      <c r="A6" s="2">
        <f>IF(OR(ISBLANK(Таблица2[[#This Row],[Оборудование]]),Таблица2[[#This Row],[Оборудование]]=""),"",'Спецификация для запроса ТУ'!$D$7)</f>
      </c>
      <c r="B6" s="2">
        <f>IF(OR(ISBLANK(Таблица2[[#This Row],[Оборудование]]),Таблица2[[#This Row],[Оборудование]]=""),"",'Спецификация для запроса ТУ'!$D$6)</f>
      </c>
      <c r="C6" s="2">
        <f>IF(ISBLANK('Спецификация для запроса ТУ'!C17),"",'Спецификация для запроса ТУ'!C17)</f>
      </c>
      <c r="D6" s="2">
        <f>IF(OR(ISBLANK(Таблица2[[#This Row],[Оборудование]]),Таблица2[[#This Row],[Оборудование]]=""),"",'Спецификация для запроса ТУ'!F17)</f>
      </c>
      <c r="E6" s="2">
        <f>IF(OR(ISBLANK(Таблица2[[#This Row],[Оборудование]]),Таблица2[[#This Row],[Оборудование]]=""),"",'Спецификация для запроса ТУ'!H17)</f>
      </c>
      <c r="F6" s="2">
        <f>IF(IF(OR(ISBLANK(Таблица2[[#This Row],[Оборудование]]),Таблица2[[#This Row],[Оборудование]]=""),"",'Спецификация для запроса ТУ'!G17)="-","",IF(OR(ISBLANK(Таблица2[[#This Row],[Оборудование]]),Таблица2[[#This Row],[Оборудование]]=""),"",'Спецификация для запроса ТУ'!G17))</f>
      </c>
      <c r="G6" s="2">
        <f>IF(OR(ISBLANK(Таблица2[[#This Row],[Оборудование]]),Таблица2[[#This Row],[Оборудование]]=""),"","Не задано")</f>
      </c>
    </row>
    <row r="7" spans="1:7" x14ac:dyDescent="0.25">
      <c r="A7" s="2">
        <f>IF(OR(ISBLANK(Таблица2[[#This Row],[Оборудование]]),Таблица2[[#This Row],[Оборудование]]=""),"",'Спецификация для запроса ТУ'!$D$7)</f>
      </c>
      <c r="B7" s="2">
        <f>IF(OR(ISBLANK(Таблица2[[#This Row],[Оборудование]]),Таблица2[[#This Row],[Оборудование]]=""),"",'Спецификация для запроса ТУ'!$D$6)</f>
      </c>
      <c r="C7" s="2">
        <f>IF(ISBLANK('Спецификация для запроса ТУ'!C18),"",'Спецификация для запроса ТУ'!C18)</f>
      </c>
      <c r="D7" s="2">
        <f>IF(OR(ISBLANK(Таблица2[[#This Row],[Оборудование]]),Таблица2[[#This Row],[Оборудование]]=""),"",'Спецификация для запроса ТУ'!F18)</f>
      </c>
      <c r="E7" s="2">
        <f>IF(OR(ISBLANK(Таблица2[[#This Row],[Оборудование]]),Таблица2[[#This Row],[Оборудование]]=""),"",'Спецификация для запроса ТУ'!H18)</f>
      </c>
      <c r="F7" s="2">
        <f>IF(IF(OR(ISBLANK(Таблица2[[#This Row],[Оборудование]]),Таблица2[[#This Row],[Оборудование]]=""),"",'Спецификация для запроса ТУ'!G18)="-","",IF(OR(ISBLANK(Таблица2[[#This Row],[Оборудование]]),Таблица2[[#This Row],[Оборудование]]=""),"",'Спецификация для запроса ТУ'!G18))</f>
      </c>
      <c r="G7" s="2">
        <f>IF(OR(ISBLANK(Таблица2[[#This Row],[Оборудование]]),Таблица2[[#This Row],[Оборудование]]=""),"","Не задано")</f>
      </c>
    </row>
    <row r="8" spans="1:7" x14ac:dyDescent="0.25">
      <c r="A8" s="2">
        <f>IF(OR(ISBLANK(Таблица2[[#This Row],[Оборудование]]),Таблица2[[#This Row],[Оборудование]]=""),"",'Спецификация для запроса ТУ'!$D$7)</f>
      </c>
      <c r="B8" s="2">
        <f>IF(OR(ISBLANK(Таблица2[[#This Row],[Оборудование]]),Таблица2[[#This Row],[Оборудование]]=""),"",'Спецификация для запроса ТУ'!$D$6)</f>
      </c>
      <c r="C8" s="2">
        <f>IF(ISBLANK('Спецификация для запроса ТУ'!C19),"",'Спецификация для запроса ТУ'!C19)</f>
      </c>
      <c r="D8" s="2">
        <f>IF(OR(ISBLANK(Таблица2[[#This Row],[Оборудование]]),Таблица2[[#This Row],[Оборудование]]=""),"",'Спецификация для запроса ТУ'!F19)</f>
      </c>
      <c r="E8" s="2">
        <f>IF(OR(ISBLANK(Таблица2[[#This Row],[Оборудование]]),Таблица2[[#This Row],[Оборудование]]=""),"",'Спецификация для запроса ТУ'!H19)</f>
      </c>
      <c r="F8" s="2">
        <f>IF(IF(OR(ISBLANK(Таблица2[[#This Row],[Оборудование]]),Таблица2[[#This Row],[Оборудование]]=""),"",'Спецификация для запроса ТУ'!G19)="-","",IF(OR(ISBLANK(Таблица2[[#This Row],[Оборудование]]),Таблица2[[#This Row],[Оборудование]]=""),"",'Спецификация для запроса ТУ'!G19))</f>
      </c>
      <c r="G8" s="2">
        <f>IF(OR(ISBLANK(Таблица2[[#This Row],[Оборудование]]),Таблица2[[#This Row],[Оборудование]]=""),"","Не задано")</f>
      </c>
    </row>
    <row r="9" spans="1:7" x14ac:dyDescent="0.25">
      <c r="A9" s="2">
        <f>IF(OR(ISBLANK(Таблица2[[#This Row],[Оборудование]]),Таблица2[[#This Row],[Оборудование]]=""),"",'Спецификация для запроса ТУ'!$D$7)</f>
      </c>
      <c r="B9" s="2">
        <f>IF(OR(ISBLANK(Таблица2[[#This Row],[Оборудование]]),Таблица2[[#This Row],[Оборудование]]=""),"",'Спецификация для запроса ТУ'!$D$6)</f>
      </c>
      <c r="C9" s="2">
        <f>IF(ISBLANK('Спецификация для запроса ТУ'!C20),"",'Спецификация для запроса ТУ'!C20)</f>
      </c>
      <c r="D9" s="2">
        <f>IF(OR(ISBLANK(Таблица2[[#This Row],[Оборудование]]),Таблица2[[#This Row],[Оборудование]]=""),"",'Спецификация для запроса ТУ'!F20)</f>
      </c>
      <c r="E9" s="2">
        <f>IF(OR(ISBLANK(Таблица2[[#This Row],[Оборудование]]),Таблица2[[#This Row],[Оборудование]]=""),"",'Спецификация для запроса ТУ'!H20)</f>
      </c>
      <c r="F9" s="2">
        <f>IF(IF(OR(ISBLANK(Таблица2[[#This Row],[Оборудование]]),Таблица2[[#This Row],[Оборудование]]=""),"",'Спецификация для запроса ТУ'!G20)="-","",IF(OR(ISBLANK(Таблица2[[#This Row],[Оборудование]]),Таблица2[[#This Row],[Оборудование]]=""),"",'Спецификация для запроса ТУ'!G20))</f>
      </c>
      <c r="G9" s="2">
        <f>IF(OR(ISBLANK(Таблица2[[#This Row],[Оборудование]]),Таблица2[[#This Row],[Оборудование]]=""),"","Не задано")</f>
      </c>
    </row>
    <row r="10" spans="1:7" x14ac:dyDescent="0.25">
      <c r="A10" s="2">
        <f>IF(OR(ISBLANK(Таблица2[[#This Row],[Оборудование]]),Таблица2[[#This Row],[Оборудование]]=""),"",'Спецификация для запроса ТУ'!$D$7)</f>
      </c>
      <c r="B10" s="2">
        <f>IF(OR(ISBLANK(Таблица2[[#This Row],[Оборудование]]),Таблица2[[#This Row],[Оборудование]]=""),"",'Спецификация для запроса ТУ'!$D$6)</f>
      </c>
      <c r="C10" s="2">
        <f>IF(ISBLANK('Спецификация для запроса ТУ'!C21),"",'Спецификация для запроса ТУ'!C21)</f>
      </c>
      <c r="D10" s="2">
        <f>IF(OR(ISBLANK(Таблица2[[#This Row],[Оборудование]]),Таблица2[[#This Row],[Оборудование]]=""),"",'Спецификация для запроса ТУ'!F21)</f>
      </c>
      <c r="E10" s="2">
        <f>IF(OR(ISBLANK(Таблица2[[#This Row],[Оборудование]]),Таблица2[[#This Row],[Оборудование]]=""),"",'Спецификация для запроса ТУ'!H21)</f>
      </c>
      <c r="F10" s="2">
        <f>IF(IF(OR(ISBLANK(Таблица2[[#This Row],[Оборудование]]),Таблица2[[#This Row],[Оборудование]]=""),"",'Спецификация для запроса ТУ'!G21)="-","",IF(OR(ISBLANK(Таблица2[[#This Row],[Оборудование]]),Таблица2[[#This Row],[Оборудование]]=""),"",'Спецификация для запроса ТУ'!G21))</f>
      </c>
      <c r="G10" s="2">
        <f>IF(OR(ISBLANK(Таблица2[[#This Row],[Оборудование]]),Таблица2[[#This Row],[Оборудование]]=""),"","Не задано")</f>
      </c>
    </row>
    <row r="11" spans="1:7" x14ac:dyDescent="0.25">
      <c r="A11" s="2">
        <f>IF(OR(ISBLANK(Таблица2[[#This Row],[Оборудование]]),Таблица2[[#This Row],[Оборудование]]=""),"",'Спецификация для запроса ТУ'!$D$7)</f>
      </c>
      <c r="B11" s="2">
        <f>IF(OR(ISBLANK(Таблица2[[#This Row],[Оборудование]]),Таблица2[[#This Row],[Оборудование]]=""),"",'Спецификация для запроса ТУ'!$D$6)</f>
      </c>
      <c r="C11" s="2">
        <f>IF(ISBLANK('Спецификация для запроса ТУ'!C22),"",'Спецификация для запроса ТУ'!C22)</f>
      </c>
      <c r="D11" s="2">
        <f>IF(OR(ISBLANK(Таблица2[[#This Row],[Оборудование]]),Таблица2[[#This Row],[Оборудование]]=""),"",'Спецификация для запроса ТУ'!F22)</f>
      </c>
      <c r="E11" s="2">
        <f>IF(OR(ISBLANK(Таблица2[[#This Row],[Оборудование]]),Таблица2[[#This Row],[Оборудование]]=""),"",'Спецификация для запроса ТУ'!H22)</f>
      </c>
      <c r="F11" s="2">
        <f>IF(IF(OR(ISBLANK(Таблица2[[#This Row],[Оборудование]]),Таблица2[[#This Row],[Оборудование]]=""),"",'Спецификация для запроса ТУ'!G22)="-","",IF(OR(ISBLANK(Таблица2[[#This Row],[Оборудование]]),Таблица2[[#This Row],[Оборудование]]=""),"",'Спецификация для запроса ТУ'!G22))</f>
      </c>
      <c r="G11" s="2">
        <f>IF(OR(ISBLANK(Таблица2[[#This Row],[Оборудование]]),Таблица2[[#This Row],[Оборудование]]=""),"","Не задано")</f>
      </c>
    </row>
    <row r="12" spans="1:7" x14ac:dyDescent="0.25">
      <c r="A12" s="2">
        <f>IF(OR(ISBLANK(Таблица2[[#This Row],[Оборудование]]),Таблица2[[#This Row],[Оборудование]]=""),"",'Спецификация для запроса ТУ'!$D$7)</f>
      </c>
      <c r="B12" s="2">
        <f>IF(OR(ISBLANK(Таблица2[[#This Row],[Оборудование]]),Таблица2[[#This Row],[Оборудование]]=""),"",'Спецификация для запроса ТУ'!$D$6)</f>
      </c>
      <c r="C12" s="2">
        <f>IF(ISBLANK('Спецификация для запроса ТУ'!C23),"",'Спецификация для запроса ТУ'!C23)</f>
      </c>
      <c r="D12" s="2">
        <f>IF(OR(ISBLANK(Таблица2[[#This Row],[Оборудование]]),Таблица2[[#This Row],[Оборудование]]=""),"",'Спецификация для запроса ТУ'!F23)</f>
      </c>
      <c r="E12" s="2">
        <f>IF(OR(ISBLANK(Таблица2[[#This Row],[Оборудование]]),Таблица2[[#This Row],[Оборудование]]=""),"",'Спецификация для запроса ТУ'!H23)</f>
      </c>
      <c r="F12" s="2">
        <f>IF(IF(OR(ISBLANK(Таблица2[[#This Row],[Оборудование]]),Таблица2[[#This Row],[Оборудование]]=""),"",'Спецификация для запроса ТУ'!G23)="-","",IF(OR(ISBLANK(Таблица2[[#This Row],[Оборудование]]),Таблица2[[#This Row],[Оборудование]]=""),"",'Спецификация для запроса ТУ'!G23))</f>
      </c>
      <c r="G12" s="2">
        <f>IF(OR(ISBLANK(Таблица2[[#This Row],[Оборудование]]),Таблица2[[#This Row],[Оборудование]]=""),"","Не задано")</f>
      </c>
    </row>
    <row r="13" spans="1:7" x14ac:dyDescent="0.25">
      <c r="A13" s="2">
        <f>IF(OR(ISBLANK(Таблица2[[#This Row],[Оборудование]]),Таблица2[[#This Row],[Оборудование]]=""),"",'Спецификация для запроса ТУ'!$D$7)</f>
      </c>
      <c r="B13" s="2">
        <f>IF(OR(ISBLANK(Таблица2[[#This Row],[Оборудование]]),Таблица2[[#This Row],[Оборудование]]=""),"",'Спецификация для запроса ТУ'!$D$6)</f>
      </c>
      <c r="C13" s="2">
        <f>IF(ISBLANK('Спецификация для запроса ТУ'!C24),"",'Спецификация для запроса ТУ'!C24)</f>
      </c>
      <c r="D13" s="2">
        <f>IF(OR(ISBLANK(Таблица2[[#This Row],[Оборудование]]),Таблица2[[#This Row],[Оборудование]]=""),"",'Спецификация для запроса ТУ'!F24)</f>
      </c>
      <c r="E13" s="2">
        <f>IF(OR(ISBLANK(Таблица2[[#This Row],[Оборудование]]),Таблица2[[#This Row],[Оборудование]]=""),"",'Спецификация для запроса ТУ'!H24)</f>
      </c>
      <c r="F13" s="2">
        <f>IF(IF(OR(ISBLANK(Таблица2[[#This Row],[Оборудование]]),Таблица2[[#This Row],[Оборудование]]=""),"",'Спецификация для запроса ТУ'!G24)="-","",IF(OR(ISBLANK(Таблица2[[#This Row],[Оборудование]]),Таблица2[[#This Row],[Оборудование]]=""),"",'Спецификация для запроса ТУ'!G24))</f>
      </c>
      <c r="G13" s="2">
        <f>IF(OR(ISBLANK(Таблица2[[#This Row],[Оборудование]]),Таблица2[[#This Row],[Оборудование]]=""),"","Не задано")</f>
      </c>
    </row>
    <row r="14" spans="1:7" x14ac:dyDescent="0.25">
      <c r="A14" s="2">
        <f>IF(OR(ISBLANK(Таблица2[[#This Row],[Оборудование]]),Таблица2[[#This Row],[Оборудование]]=""),"",'Спецификация для запроса ТУ'!$D$7)</f>
      </c>
      <c r="B14" s="2">
        <f>IF(OR(ISBLANK(Таблица2[[#This Row],[Оборудование]]),Таблица2[[#This Row],[Оборудование]]=""),"",'Спецификация для запроса ТУ'!$D$6)</f>
      </c>
      <c r="C14" s="2">
        <f>IF(ISBLANK('Спецификация для запроса ТУ'!C25),"",'Спецификация для запроса ТУ'!C25)</f>
      </c>
      <c r="D14" s="2">
        <f>IF(OR(ISBLANK(Таблица2[[#This Row],[Оборудование]]),Таблица2[[#This Row],[Оборудование]]=""),"",'Спецификация для запроса ТУ'!F25)</f>
      </c>
      <c r="E14" s="2">
        <f>IF(OR(ISBLANK(Таблица2[[#This Row],[Оборудование]]),Таблица2[[#This Row],[Оборудование]]=""),"",'Спецификация для запроса ТУ'!H25)</f>
      </c>
      <c r="F14" s="2">
        <f>IF(IF(OR(ISBLANK(Таблица2[[#This Row],[Оборудование]]),Таблица2[[#This Row],[Оборудование]]=""),"",'Спецификация для запроса ТУ'!G25)="-","",IF(OR(ISBLANK(Таблица2[[#This Row],[Оборудование]]),Таблица2[[#This Row],[Оборудование]]=""),"",'Спецификация для запроса ТУ'!G25))</f>
      </c>
      <c r="G14" s="2">
        <f>IF(OR(ISBLANK(Таблица2[[#This Row],[Оборудование]]),Таблица2[[#This Row],[Оборудование]]=""),"","Не задано")</f>
      </c>
    </row>
    <row r="15" spans="1:7" x14ac:dyDescent="0.25">
      <c r="A15" s="2">
        <f>IF(OR(ISBLANK(Таблица2[[#This Row],[Оборудование]]),Таблица2[[#This Row],[Оборудование]]=""),"",'Спецификация для запроса ТУ'!$D$7)</f>
      </c>
      <c r="B15" s="2">
        <f>IF(OR(ISBLANK(Таблица2[[#This Row],[Оборудование]]),Таблица2[[#This Row],[Оборудование]]=""),"",'Спецификация для запроса ТУ'!$D$6)</f>
      </c>
      <c r="C15" s="2">
        <f>IF(ISBLANK('Спецификация для запроса ТУ'!C26),"",'Спецификация для запроса ТУ'!C26)</f>
      </c>
      <c r="D15" s="2">
        <f>IF(OR(ISBLANK(Таблица2[[#This Row],[Оборудование]]),Таблица2[[#This Row],[Оборудование]]=""),"",'Спецификация для запроса ТУ'!F26)</f>
      </c>
      <c r="E15" s="2">
        <f>IF(OR(ISBLANK(Таблица2[[#This Row],[Оборудование]]),Таблица2[[#This Row],[Оборудование]]=""),"",'Спецификация для запроса ТУ'!H26)</f>
      </c>
      <c r="F15" s="2">
        <f>IF(IF(OR(ISBLANK(Таблица2[[#This Row],[Оборудование]]),Таблица2[[#This Row],[Оборудование]]=""),"",'Спецификация для запроса ТУ'!G26)="-","",IF(OR(ISBLANK(Таблица2[[#This Row],[Оборудование]]),Таблица2[[#This Row],[Оборудование]]=""),"",'Спецификация для запроса ТУ'!G26))</f>
      </c>
      <c r="G15" s="2">
        <f>IF(OR(ISBLANK(Таблица2[[#This Row],[Оборудование]]),Таблица2[[#This Row],[Оборудование]]=""),"","Не задано")</f>
      </c>
    </row>
    <row r="16" spans="1:7" x14ac:dyDescent="0.25">
      <c r="A16" s="2">
        <f>IF(OR(ISBLANK(Таблица2[[#This Row],[Оборудование]]),Таблица2[[#This Row],[Оборудование]]=""),"",'Спецификация для запроса ТУ'!$D$7)</f>
      </c>
      <c r="B16" s="2">
        <f>IF(OR(ISBLANK(Таблица2[[#This Row],[Оборудование]]),Таблица2[[#This Row],[Оборудование]]=""),"",'Спецификация для запроса ТУ'!$D$6)</f>
      </c>
      <c r="C16" s="2">
        <f>IF(ISBLANK('Спецификация для запроса ТУ'!C27),"",'Спецификация для запроса ТУ'!C27)</f>
      </c>
      <c r="D16" s="2">
        <f>IF(OR(ISBLANK(Таблица2[[#This Row],[Оборудование]]),Таблица2[[#This Row],[Оборудование]]=""),"",'Спецификация для запроса ТУ'!F27)</f>
      </c>
      <c r="E16" s="2">
        <f>IF(OR(ISBLANK(Таблица2[[#This Row],[Оборудование]]),Таблица2[[#This Row],[Оборудование]]=""),"",'Спецификация для запроса ТУ'!H27)</f>
      </c>
      <c r="F16" s="2">
        <f>IF(IF(OR(ISBLANK(Таблица2[[#This Row],[Оборудование]]),Таблица2[[#This Row],[Оборудование]]=""),"",'Спецификация для запроса ТУ'!G27)="-","",IF(OR(ISBLANK(Таблица2[[#This Row],[Оборудование]]),Таблица2[[#This Row],[Оборудование]]=""),"",'Спецификация для запроса ТУ'!G27))</f>
      </c>
      <c r="G16" s="2">
        <f>IF(OR(ISBLANK(Таблица2[[#This Row],[Оборудование]]),Таблица2[[#This Row],[Оборудование]]=""),"","Не задано")</f>
      </c>
    </row>
    <row r="17" spans="1:7" x14ac:dyDescent="0.25">
      <c r="A17" s="2">
        <f>IF(OR(ISBLANK(Таблица2[[#This Row],[Оборудование]]),Таблица2[[#This Row],[Оборудование]]=""),"",'Спецификация для запроса ТУ'!$D$7)</f>
      </c>
      <c r="B17" s="2">
        <f>IF(OR(ISBLANK(Таблица2[[#This Row],[Оборудование]]),Таблица2[[#This Row],[Оборудование]]=""),"",'Спецификация для запроса ТУ'!$D$6)</f>
      </c>
      <c r="C17" s="2">
        <f>IF(ISBLANK('Спецификация для запроса ТУ'!C28),"",'Спецификация для запроса ТУ'!C28)</f>
      </c>
      <c r="D17" s="2">
        <f>IF(OR(ISBLANK(Таблица2[[#This Row],[Оборудование]]),Таблица2[[#This Row],[Оборудование]]=""),"",'Спецификация для запроса ТУ'!F28)</f>
      </c>
      <c r="E17" s="2">
        <f>IF(OR(ISBLANK(Таблица2[[#This Row],[Оборудование]]),Таблица2[[#This Row],[Оборудование]]=""),"",'Спецификация для запроса ТУ'!H28)</f>
      </c>
      <c r="F17" s="2">
        <f>IF(IF(OR(ISBLANK(Таблица2[[#This Row],[Оборудование]]),Таблица2[[#This Row],[Оборудование]]=""),"",'Спецификация для запроса ТУ'!G28)="-","",IF(OR(ISBLANK(Таблица2[[#This Row],[Оборудование]]),Таблица2[[#This Row],[Оборудование]]=""),"",'Спецификация для запроса ТУ'!G28))</f>
      </c>
      <c r="G17" s="2">
        <f>IF(OR(ISBLANK(Таблица2[[#This Row],[Оборудование]]),Таблица2[[#This Row],[Оборудование]]=""),"","Не задано")</f>
      </c>
    </row>
    <row r="18" spans="1:7" x14ac:dyDescent="0.25">
      <c r="A18" s="2">
        <f>IF(OR(ISBLANK(Таблица2[[#This Row],[Оборудование]]),Таблица2[[#This Row],[Оборудование]]=""),"",'Спецификация для запроса ТУ'!$D$7)</f>
      </c>
      <c r="B18" s="2">
        <f>IF(OR(ISBLANK(Таблица2[[#This Row],[Оборудование]]),Таблица2[[#This Row],[Оборудование]]=""),"",'Спецификация для запроса ТУ'!$D$6)</f>
      </c>
      <c r="C18" s="2">
        <f>IF(ISBLANK('Спецификация для запроса ТУ'!C29),"",'Спецификация для запроса ТУ'!C29)</f>
      </c>
      <c r="D18" s="2">
        <f>IF(OR(ISBLANK(Таблица2[[#This Row],[Оборудование]]),Таблица2[[#This Row],[Оборудование]]=""),"",'Спецификация для запроса ТУ'!F29)</f>
      </c>
      <c r="E18" s="2">
        <f>IF(OR(ISBLANK(Таблица2[[#This Row],[Оборудование]]),Таблица2[[#This Row],[Оборудование]]=""),"",'Спецификация для запроса ТУ'!H29)</f>
      </c>
      <c r="F18" s="2">
        <f>IF(IF(OR(ISBLANK(Таблица2[[#This Row],[Оборудование]]),Таблица2[[#This Row],[Оборудование]]=""),"",'Спецификация для запроса ТУ'!G29)="-","",IF(OR(ISBLANK(Таблица2[[#This Row],[Оборудование]]),Таблица2[[#This Row],[Оборудование]]=""),"",'Спецификация для запроса ТУ'!G29))</f>
      </c>
      <c r="G18" s="2">
        <f>IF(OR(ISBLANK(Таблица2[[#This Row],[Оборудование]]),Таблица2[[#This Row],[Оборудование]]=""),"","Не задано")</f>
      </c>
    </row>
    <row r="19" spans="1:7" x14ac:dyDescent="0.25">
      <c r="A19" s="2">
        <f>IF(OR(ISBLANK(Таблица2[[#This Row],[Оборудование]]),Таблица2[[#This Row],[Оборудование]]=""),"",'Спецификация для запроса ТУ'!$D$7)</f>
      </c>
      <c r="B19" s="2">
        <f>IF(OR(ISBLANK(Таблица2[[#This Row],[Оборудование]]),Таблица2[[#This Row],[Оборудование]]=""),"",'Спецификация для запроса ТУ'!$D$6)</f>
      </c>
      <c r="C19" s="2">
        <f>IF(ISBLANK('Спецификация для запроса ТУ'!C30),"",'Спецификация для запроса ТУ'!C30)</f>
      </c>
      <c r="D19" s="2">
        <f>IF(OR(ISBLANK(Таблица2[[#This Row],[Оборудование]]),Таблица2[[#This Row],[Оборудование]]=""),"",'Спецификация для запроса ТУ'!F30)</f>
      </c>
      <c r="E19" s="2">
        <f>IF(OR(ISBLANK(Таблица2[[#This Row],[Оборудование]]),Таблица2[[#This Row],[Оборудование]]=""),"",'Спецификация для запроса ТУ'!H30)</f>
      </c>
      <c r="F19" s="2">
        <f>IF(IF(OR(ISBLANK(Таблица2[[#This Row],[Оборудование]]),Таблица2[[#This Row],[Оборудование]]=""),"",'Спецификация для запроса ТУ'!G30)="-","",IF(OR(ISBLANK(Таблица2[[#This Row],[Оборудование]]),Таблица2[[#This Row],[Оборудование]]=""),"",'Спецификация для запроса ТУ'!G30))</f>
      </c>
      <c r="G19" s="2">
        <f>IF(OR(ISBLANK(Таблица2[[#This Row],[Оборудование]]),Таблица2[[#This Row],[Оборудование]]=""),"","Не задано")</f>
      </c>
    </row>
    <row r="20" spans="1:7" x14ac:dyDescent="0.25">
      <c r="A20" s="2">
        <f>IF(OR(ISBLANK(Таблица2[[#This Row],[Оборудование]]),Таблица2[[#This Row],[Оборудование]]=""),"",'Спецификация для запроса ТУ'!$D$7)</f>
      </c>
      <c r="B20" s="2">
        <f>IF(OR(ISBLANK(Таблица2[[#This Row],[Оборудование]]),Таблица2[[#This Row],[Оборудование]]=""),"",'Спецификация для запроса ТУ'!$D$6)</f>
      </c>
      <c r="C20" s="2">
        <f>IF(ISBLANK('Спецификация для запроса ТУ'!C31),"",'Спецификация для запроса ТУ'!C31)</f>
      </c>
      <c r="D20" s="2">
        <f>IF(OR(ISBLANK(Таблица2[[#This Row],[Оборудование]]),Таблица2[[#This Row],[Оборудование]]=""),"",'Спецификация для запроса ТУ'!F31)</f>
      </c>
      <c r="E20" s="2">
        <f>IF(OR(ISBLANK(Таблица2[[#This Row],[Оборудование]]),Таблица2[[#This Row],[Оборудование]]=""),"",'Спецификация для запроса ТУ'!H31)</f>
      </c>
      <c r="F20" s="2">
        <f>IF(IF(OR(ISBLANK(Таблица2[[#This Row],[Оборудование]]),Таблица2[[#This Row],[Оборудование]]=""),"",'Спецификация для запроса ТУ'!G31)="-","",IF(OR(ISBLANK(Таблица2[[#This Row],[Оборудование]]),Таблица2[[#This Row],[Оборудование]]=""),"",'Спецификация для запроса ТУ'!G31))</f>
      </c>
      <c r="G20" s="2">
        <f>IF(OR(ISBLANK(Таблица2[[#This Row],[Оборудование]]),Таблица2[[#This Row],[Оборудование]]=""),"","Не задано")</f>
      </c>
    </row>
    <row r="21" spans="1:7" x14ac:dyDescent="0.25">
      <c r="A21" s="2">
        <f>IF(OR(ISBLANK(Таблица2[[#This Row],[Оборудование]]),Таблица2[[#This Row],[Оборудование]]=""),"",'Спецификация для запроса ТУ'!$D$7)</f>
      </c>
      <c r="B21" s="2">
        <f>IF(OR(ISBLANK(Таблица2[[#This Row],[Оборудование]]),Таблица2[[#This Row],[Оборудование]]=""),"",'Спецификация для запроса ТУ'!$D$6)</f>
      </c>
      <c r="C21" s="2">
        <f>IF(ISBLANK('Спецификация для запроса ТУ'!C32),"",'Спецификация для запроса ТУ'!C32)</f>
      </c>
      <c r="D21" s="2">
        <f>IF(OR(ISBLANK(Таблица2[[#This Row],[Оборудование]]),Таблица2[[#This Row],[Оборудование]]=""),"",'Спецификация для запроса ТУ'!F32)</f>
      </c>
      <c r="E21" s="2">
        <f>IF(OR(ISBLANK(Таблица2[[#This Row],[Оборудование]]),Таблица2[[#This Row],[Оборудование]]=""),"",'Спецификация для запроса ТУ'!H32)</f>
      </c>
      <c r="F21" s="2">
        <f>IF(IF(OR(ISBLANK(Таблица2[[#This Row],[Оборудование]]),Таблица2[[#This Row],[Оборудование]]=""),"",'Спецификация для запроса ТУ'!G32)="-","",IF(OR(ISBLANK(Таблица2[[#This Row],[Оборудование]]),Таблица2[[#This Row],[Оборудование]]=""),"",'Спецификация для запроса ТУ'!G32))</f>
      </c>
      <c r="G21" s="2">
        <f>IF(OR(ISBLANK(Таблица2[[#This Row],[Оборудование]]),Таблица2[[#This Row],[Оборудование]]=""),"","Не задано")</f>
      </c>
    </row>
    <row r="22" spans="1:7" x14ac:dyDescent="0.25">
      <c r="A22" s="2">
        <f>IF(OR(ISBLANK(Таблица2[[#This Row],[Оборудование]]),Таблица2[[#This Row],[Оборудование]]=""),"",'Спецификация для запроса ТУ'!$D$7)</f>
      </c>
      <c r="B22" s="2">
        <f>IF(OR(ISBLANK(Таблица2[[#This Row],[Оборудование]]),Таблица2[[#This Row],[Оборудование]]=""),"",'Спецификация для запроса ТУ'!$D$6)</f>
      </c>
      <c r="C22" s="2">
        <f>IF(ISBLANK('Спецификация для запроса ТУ'!C33),"",'Спецификация для запроса ТУ'!C33)</f>
      </c>
      <c r="D22" s="2">
        <f>IF(OR(ISBLANK(Таблица2[[#This Row],[Оборудование]]),Таблица2[[#This Row],[Оборудование]]=""),"",'Спецификация для запроса ТУ'!F33)</f>
      </c>
      <c r="E22" s="2">
        <f>IF(OR(ISBLANK(Таблица2[[#This Row],[Оборудование]]),Таблица2[[#This Row],[Оборудование]]=""),"",'Спецификация для запроса ТУ'!H33)</f>
      </c>
      <c r="F22" s="2">
        <f>IF(IF(OR(ISBLANK(Таблица2[[#This Row],[Оборудование]]),Таблица2[[#This Row],[Оборудование]]=""),"",'Спецификация для запроса ТУ'!G33)="-","",IF(OR(ISBLANK(Таблица2[[#This Row],[Оборудование]]),Таблица2[[#This Row],[Оборудование]]=""),"",'Спецификация для запроса ТУ'!G33))</f>
      </c>
      <c r="G22" s="2">
        <f>IF(OR(ISBLANK(Таблица2[[#This Row],[Оборудование]]),Таблица2[[#This Row],[Оборудование]]=""),"","Не задано")</f>
      </c>
    </row>
    <row r="23" spans="1:7" x14ac:dyDescent="0.25">
      <c r="A23" s="2">
        <f>IF(OR(ISBLANK(Таблица2[[#This Row],[Оборудование]]),Таблица2[[#This Row],[Оборудование]]=""),"",'Спецификация для запроса ТУ'!$D$7)</f>
      </c>
      <c r="B23" s="2">
        <f>IF(OR(ISBLANK(Таблица2[[#This Row],[Оборудование]]),Таблица2[[#This Row],[Оборудование]]=""),"",'Спецификация для запроса ТУ'!$D$6)</f>
      </c>
      <c r="C23" s="2">
        <f>IF(ISBLANK('Спецификация для запроса ТУ'!C34),"",'Спецификация для запроса ТУ'!C34)</f>
      </c>
      <c r="D23" s="2">
        <f>IF(OR(ISBLANK(Таблица2[[#This Row],[Оборудование]]),Таблица2[[#This Row],[Оборудование]]=""),"",'Спецификация для запроса ТУ'!F34)</f>
      </c>
      <c r="E23" s="2">
        <f>IF(OR(ISBLANK(Таблица2[[#This Row],[Оборудование]]),Таблица2[[#This Row],[Оборудование]]=""),"",'Спецификация для запроса ТУ'!H34)</f>
      </c>
      <c r="F23" s="2">
        <f>IF(IF(OR(ISBLANK(Таблица2[[#This Row],[Оборудование]]),Таблица2[[#This Row],[Оборудование]]=""),"",'Спецификация для запроса ТУ'!G34)="-","",IF(OR(ISBLANK(Таблица2[[#This Row],[Оборудование]]),Таблица2[[#This Row],[Оборудование]]=""),"",'Спецификация для запроса ТУ'!G34))</f>
      </c>
      <c r="G23" s="2">
        <f>IF(OR(ISBLANK(Таблица2[[#This Row],[Оборудование]]),Таблица2[[#This Row],[Оборудование]]=""),"","Не задано")</f>
      </c>
    </row>
    <row r="24" spans="1:7" x14ac:dyDescent="0.25">
      <c r="A24" s="2">
        <f>IF(OR(ISBLANK(Таблица2[[#This Row],[Оборудование]]),Таблица2[[#This Row],[Оборудование]]=""),"",'Спецификация для запроса ТУ'!$D$7)</f>
      </c>
      <c r="B24" s="2">
        <f>IF(OR(ISBLANK(Таблица2[[#This Row],[Оборудование]]),Таблица2[[#This Row],[Оборудование]]=""),"",'Спецификация для запроса ТУ'!$D$6)</f>
      </c>
      <c r="C24" s="2">
        <f>IF(ISBLANK('Спецификация для запроса ТУ'!C35),"",'Спецификация для запроса ТУ'!C35)</f>
      </c>
      <c r="D24" s="2">
        <f>IF(OR(ISBLANK(Таблица2[[#This Row],[Оборудование]]),Таблица2[[#This Row],[Оборудование]]=""),"",'Спецификация для запроса ТУ'!F35)</f>
      </c>
      <c r="E24" s="2">
        <f>IF(OR(ISBLANK(Таблица2[[#This Row],[Оборудование]]),Таблица2[[#This Row],[Оборудование]]=""),"",'Спецификация для запроса ТУ'!H35)</f>
      </c>
      <c r="F24" s="2">
        <f>IF(IF(OR(ISBLANK(Таблица2[[#This Row],[Оборудование]]),Таблица2[[#This Row],[Оборудование]]=""),"",'Спецификация для запроса ТУ'!G35)="-","",IF(OR(ISBLANK(Таблица2[[#This Row],[Оборудование]]),Таблица2[[#This Row],[Оборудование]]=""),"",'Спецификация для запроса ТУ'!G35))</f>
      </c>
      <c r="G24" s="2">
        <f>IF(OR(ISBLANK(Таблица2[[#This Row],[Оборудование]]),Таблица2[[#This Row],[Оборудование]]=""),"","Не задано")</f>
      </c>
    </row>
    <row r="25" spans="1:7" x14ac:dyDescent="0.25">
      <c r="A25" s="2">
        <f>IF(OR(ISBLANK(Таблица2[[#This Row],[Оборудование]]),Таблица2[[#This Row],[Оборудование]]=""),"",'Спецификация для запроса ТУ'!$D$7)</f>
      </c>
      <c r="B25" s="2">
        <f>IF(OR(ISBLANK(Таблица2[[#This Row],[Оборудование]]),Таблица2[[#This Row],[Оборудование]]=""),"",'Спецификация для запроса ТУ'!$D$6)</f>
      </c>
      <c r="C25" s="2">
        <f>IF(ISBLANK('Спецификация для запроса ТУ'!C36),"",'Спецификация для запроса ТУ'!C36)</f>
      </c>
      <c r="D25" s="2">
        <f>IF(OR(ISBLANK(Таблица2[[#This Row],[Оборудование]]),Таблица2[[#This Row],[Оборудование]]=""),"",'Спецификация для запроса ТУ'!F36)</f>
      </c>
      <c r="E25" s="2">
        <f>IF(OR(ISBLANK(Таблица2[[#This Row],[Оборудование]]),Таблица2[[#This Row],[Оборудование]]=""),"",'Спецификация для запроса ТУ'!H36)</f>
      </c>
      <c r="F25" s="2">
        <f>IF(IF(OR(ISBLANK(Таблица2[[#This Row],[Оборудование]]),Таблица2[[#This Row],[Оборудование]]=""),"",'Спецификация для запроса ТУ'!G36)="-","",IF(OR(ISBLANK(Таблица2[[#This Row],[Оборудование]]),Таблица2[[#This Row],[Оборудование]]=""),"",'Спецификация для запроса ТУ'!G36))</f>
      </c>
      <c r="G25" s="2">
        <f>IF(OR(ISBLANK(Таблица2[[#This Row],[Оборудование]]),Таблица2[[#This Row],[Оборудование]]=""),"","Не задано")</f>
      </c>
    </row>
    <row r="26" spans="1:7" x14ac:dyDescent="0.25">
      <c r="A26" s="2">
        <f>IF(OR(ISBLANK(Таблица2[[#This Row],[Оборудование]]),Таблица2[[#This Row],[Оборудование]]=""),"",'Спецификация для запроса ТУ'!$D$7)</f>
      </c>
      <c r="B26" s="2">
        <f>IF(OR(ISBLANK(Таблица2[[#This Row],[Оборудование]]),Таблица2[[#This Row],[Оборудование]]=""),"",'Спецификация для запроса ТУ'!$D$6)</f>
      </c>
      <c r="C26" s="2">
        <f>IF(ISBLANK('Спецификация для запроса ТУ'!C37),"",'Спецификация для запроса ТУ'!C37)</f>
      </c>
      <c r="D26" s="2">
        <f>IF(OR(ISBLANK(Таблица2[[#This Row],[Оборудование]]),Таблица2[[#This Row],[Оборудование]]=""),"",'Спецификация для запроса ТУ'!F37)</f>
      </c>
      <c r="E26" s="2">
        <f>IF(OR(ISBLANK(Таблица2[[#This Row],[Оборудование]]),Таблица2[[#This Row],[Оборудование]]=""),"",'Спецификация для запроса ТУ'!H37)</f>
      </c>
      <c r="F26" s="2">
        <f>IF(IF(OR(ISBLANK(Таблица2[[#This Row],[Оборудование]]),Таблица2[[#This Row],[Оборудование]]=""),"",'Спецификация для запроса ТУ'!G37)="-","",IF(OR(ISBLANK(Таблица2[[#This Row],[Оборудование]]),Таблица2[[#This Row],[Оборудование]]=""),"",'Спецификация для запроса ТУ'!G37))</f>
      </c>
      <c r="G26" s="2">
        <f>IF(OR(ISBLANK(Таблица2[[#This Row],[Оборудование]]),Таблица2[[#This Row],[Оборудование]]=""),"","Не задано")</f>
      </c>
    </row>
    <row r="27" spans="1:7" x14ac:dyDescent="0.25">
      <c r="A27" s="2">
        <f>IF(OR(ISBLANK(Таблица2[[#This Row],[Оборудование]]),Таблица2[[#This Row],[Оборудование]]=""),"",'Спецификация для запроса ТУ'!$D$7)</f>
      </c>
      <c r="B27" s="2">
        <f>IF(OR(ISBLANK(Таблица2[[#This Row],[Оборудование]]),Таблица2[[#This Row],[Оборудование]]=""),"",'Спецификация для запроса ТУ'!$D$6)</f>
      </c>
      <c r="C27" s="2">
        <f>IF(ISBLANK('Спецификация для запроса ТУ'!C38),"",'Спецификация для запроса ТУ'!C38)</f>
      </c>
      <c r="D27" s="2">
        <f>IF(OR(ISBLANK(Таблица2[[#This Row],[Оборудование]]),Таблица2[[#This Row],[Оборудование]]=""),"",'Спецификация для запроса ТУ'!F38)</f>
      </c>
      <c r="E27" s="2">
        <f>IF(OR(ISBLANK(Таблица2[[#This Row],[Оборудование]]),Таблица2[[#This Row],[Оборудование]]=""),"",'Спецификация для запроса ТУ'!H38)</f>
      </c>
      <c r="F27" s="2">
        <f>IF(IF(OR(ISBLANK(Таблица2[[#This Row],[Оборудование]]),Таблица2[[#This Row],[Оборудование]]=""),"",'Спецификация для запроса ТУ'!G38)="-","",IF(OR(ISBLANK(Таблица2[[#This Row],[Оборудование]]),Таблица2[[#This Row],[Оборудование]]=""),"",'Спецификация для запроса ТУ'!G38))</f>
      </c>
      <c r="G27" s="2">
        <f>IF(OR(ISBLANK(Таблица2[[#This Row],[Оборудование]]),Таблица2[[#This Row],[Оборудование]]=""),"","Не задано")</f>
      </c>
    </row>
    <row r="28" spans="1:7" x14ac:dyDescent="0.25">
      <c r="A28" s="2">
        <f>IF(OR(ISBLANK(Таблица2[[#This Row],[Оборудование]]),Таблица2[[#This Row],[Оборудование]]=""),"",'Спецификация для запроса ТУ'!$D$7)</f>
      </c>
      <c r="B28" s="2">
        <f>IF(OR(ISBLANK(Таблица2[[#This Row],[Оборудование]]),Таблица2[[#This Row],[Оборудование]]=""),"",'Спецификация для запроса ТУ'!$D$6)</f>
      </c>
      <c r="C28" s="2">
        <f>IF(ISBLANK('Спецификация для запроса ТУ'!C39),"",'Спецификация для запроса ТУ'!C39)</f>
      </c>
      <c r="D28" s="2">
        <f>IF(OR(ISBLANK(Таблица2[[#This Row],[Оборудование]]),Таблица2[[#This Row],[Оборудование]]=""),"",'Спецификация для запроса ТУ'!F39)</f>
      </c>
      <c r="E28" s="2">
        <f>IF(OR(ISBLANK(Таблица2[[#This Row],[Оборудование]]),Таблица2[[#This Row],[Оборудование]]=""),"",'Спецификация для запроса ТУ'!H39)</f>
      </c>
      <c r="F28" s="2">
        <f>IF(IF(OR(ISBLANK(Таблица2[[#This Row],[Оборудование]]),Таблица2[[#This Row],[Оборудование]]=""),"",'Спецификация для запроса ТУ'!G39)="-","",IF(OR(ISBLANK(Таблица2[[#This Row],[Оборудование]]),Таблица2[[#This Row],[Оборудование]]=""),"",'Спецификация для запроса ТУ'!G39))</f>
      </c>
      <c r="G28" s="2">
        <f>IF(OR(ISBLANK(Таблица2[[#This Row],[Оборудование]]),Таблица2[[#This Row],[Оборудование]]=""),"","Не задано")</f>
      </c>
    </row>
    <row r="29" spans="1:7" x14ac:dyDescent="0.25">
      <c r="A29" s="2">
        <f>IF(OR(ISBLANK(Таблица2[[#This Row],[Оборудование]]),Таблица2[[#This Row],[Оборудование]]=""),"",'Спецификация для запроса ТУ'!$D$7)</f>
      </c>
      <c r="B29" s="2">
        <f>IF(OR(ISBLANK(Таблица2[[#This Row],[Оборудование]]),Таблица2[[#This Row],[Оборудование]]=""),"",'Спецификация для запроса ТУ'!$D$6)</f>
      </c>
      <c r="C29" s="2">
        <f>IF(ISBLANK('Спецификация для запроса ТУ'!C40),"",'Спецификация для запроса ТУ'!C40)</f>
      </c>
      <c r="D29" s="2">
        <f>IF(OR(ISBLANK(Таблица2[[#This Row],[Оборудование]]),Таблица2[[#This Row],[Оборудование]]=""),"",'Спецификация для запроса ТУ'!F40)</f>
      </c>
      <c r="E29" s="2">
        <f>IF(OR(ISBLANK(Таблица2[[#This Row],[Оборудование]]),Таблица2[[#This Row],[Оборудование]]=""),"",'Спецификация для запроса ТУ'!H40)</f>
      </c>
      <c r="F29" s="2">
        <f>IF(IF(OR(ISBLANK(Таблица2[[#This Row],[Оборудование]]),Таблица2[[#This Row],[Оборудование]]=""),"",'Спецификация для запроса ТУ'!G40)="-","",IF(OR(ISBLANK(Таблица2[[#This Row],[Оборудование]]),Таблица2[[#This Row],[Оборудование]]=""),"",'Спецификация для запроса ТУ'!G40))</f>
      </c>
      <c r="G29" s="2">
        <f>IF(OR(ISBLANK(Таблица2[[#This Row],[Оборудование]]),Таблица2[[#This Row],[Оборудование]]=""),"","Не задано")</f>
      </c>
    </row>
    <row r="30" spans="1:7" x14ac:dyDescent="0.25">
      <c r="A30" s="2">
        <f>IF(OR(ISBLANK(Таблица2[[#This Row],[Оборудование]]),Таблица2[[#This Row],[Оборудование]]=""),"",'Спецификация для запроса ТУ'!$D$7)</f>
      </c>
      <c r="B30" s="2">
        <f>IF(OR(ISBLANK(Таблица2[[#This Row],[Оборудование]]),Таблица2[[#This Row],[Оборудование]]=""),"",'Спецификация для запроса ТУ'!$D$6)</f>
      </c>
      <c r="C30" s="2">
        <f>IF(ISBLANK('Спецификация для запроса ТУ'!C41),"",'Спецификация для запроса ТУ'!C41)</f>
      </c>
      <c r="D30" s="2">
        <f>IF(OR(ISBLANK(Таблица2[[#This Row],[Оборудование]]),Таблица2[[#This Row],[Оборудование]]=""),"",'Спецификация для запроса ТУ'!F41)</f>
      </c>
      <c r="E30" s="2">
        <f>IF(OR(ISBLANK(Таблица2[[#This Row],[Оборудование]]),Таблица2[[#This Row],[Оборудование]]=""),"",'Спецификация для запроса ТУ'!H41)</f>
      </c>
      <c r="F30" s="2">
        <f>IF(IF(OR(ISBLANK(Таблица2[[#This Row],[Оборудование]]),Таблица2[[#This Row],[Оборудование]]=""),"",'Спецификация для запроса ТУ'!G41)="-","",IF(OR(ISBLANK(Таблица2[[#This Row],[Оборудование]]),Таблица2[[#This Row],[Оборудование]]=""),"",'Спецификация для запроса ТУ'!G41))</f>
      </c>
      <c r="G30" s="2">
        <f>IF(OR(ISBLANK(Таблица2[[#This Row],[Оборудование]]),Таблица2[[#This Row],[Оборудование]]=""),"","Не задано")</f>
      </c>
    </row>
    <row r="31" spans="1:7" x14ac:dyDescent="0.25">
      <c r="A31" s="2">
        <f>IF(OR(ISBLANK(Таблица2[[#This Row],[Оборудование]]),Таблица2[[#This Row],[Оборудование]]=""),"",'Спецификация для запроса ТУ'!$D$7)</f>
      </c>
      <c r="B31" s="2">
        <f>IF(OR(ISBLANK(Таблица2[[#This Row],[Оборудование]]),Таблица2[[#This Row],[Оборудование]]=""),"",'Спецификация для запроса ТУ'!$D$6)</f>
      </c>
      <c r="C31" s="2">
        <f>IF(ISBLANK('Спецификация для запроса ТУ'!C42),"",'Спецификация для запроса ТУ'!C42)</f>
      </c>
      <c r="D31" s="2">
        <f>IF(OR(ISBLANK(Таблица2[[#This Row],[Оборудование]]),Таблица2[[#This Row],[Оборудование]]=""),"",'Спецификация для запроса ТУ'!F42)</f>
      </c>
      <c r="E31" s="2">
        <f>IF(OR(ISBLANK(Таблица2[[#This Row],[Оборудование]]),Таблица2[[#This Row],[Оборудование]]=""),"",'Спецификация для запроса ТУ'!H42)</f>
      </c>
      <c r="F31" s="2">
        <f>IF(IF(OR(ISBLANK(Таблица2[[#This Row],[Оборудование]]),Таблица2[[#This Row],[Оборудование]]=""),"",'Спецификация для запроса ТУ'!G42)="-","",IF(OR(ISBLANK(Таблица2[[#This Row],[Оборудование]]),Таблица2[[#This Row],[Оборудование]]=""),"",'Спецификация для запроса ТУ'!G42))</f>
      </c>
      <c r="G31" s="2">
        <f>IF(OR(ISBLANK(Таблица2[[#This Row],[Оборудование]]),Таблица2[[#This Row],[Оборудование]]=""),"","Не задано")</f>
      </c>
    </row>
    <row r="32" spans="1:7" x14ac:dyDescent="0.25">
      <c r="A32" s="2">
        <f>IF(OR(ISBLANK(Таблица2[[#This Row],[Оборудование]]),Таблица2[[#This Row],[Оборудование]]=""),"",'Спецификация для запроса ТУ'!$D$7)</f>
      </c>
      <c r="B32" s="2">
        <f>IF(OR(ISBLANK(Таблица2[[#This Row],[Оборудование]]),Таблица2[[#This Row],[Оборудование]]=""),"",'Спецификация для запроса ТУ'!$D$6)</f>
      </c>
      <c r="C32" s="2">
        <f>IF(ISBLANK('Спецификация для запроса ТУ'!C43),"",'Спецификация для запроса ТУ'!C43)</f>
      </c>
      <c r="D32" s="2">
        <f>IF(OR(ISBLANK(Таблица2[[#This Row],[Оборудование]]),Таблица2[[#This Row],[Оборудование]]=""),"",'Спецификация для запроса ТУ'!F43)</f>
      </c>
      <c r="E32" s="2">
        <f>IF(OR(ISBLANK(Таблица2[[#This Row],[Оборудование]]),Таблица2[[#This Row],[Оборудование]]=""),"",'Спецификация для запроса ТУ'!H43)</f>
      </c>
      <c r="F32" s="2">
        <f>IF(IF(OR(ISBLANK(Таблица2[[#This Row],[Оборудование]]),Таблица2[[#This Row],[Оборудование]]=""),"",'Спецификация для запроса ТУ'!G43)="-","",IF(OR(ISBLANK(Таблица2[[#This Row],[Оборудование]]),Таблица2[[#This Row],[Оборудование]]=""),"",'Спецификация для запроса ТУ'!G43))</f>
      </c>
      <c r="G32" s="2">
        <f>IF(OR(ISBLANK(Таблица2[[#This Row],[Оборудование]]),Таблица2[[#This Row],[Оборудование]]=""),"","Не задано")</f>
      </c>
    </row>
    <row r="33" spans="1:7" x14ac:dyDescent="0.25">
      <c r="A33" s="2">
        <f>IF(OR(ISBLANK(Таблица2[[#This Row],[Оборудование]]),Таблица2[[#This Row],[Оборудование]]=""),"",'Спецификация для запроса ТУ'!$D$7)</f>
      </c>
      <c r="B33" s="2">
        <f>IF(OR(ISBLANK(Таблица2[[#This Row],[Оборудование]]),Таблица2[[#This Row],[Оборудование]]=""),"",'Спецификация для запроса ТУ'!$D$6)</f>
      </c>
      <c r="C33" s="2">
        <f>IF(ISBLANK('Спецификация для запроса ТУ'!C44),"",'Спецификация для запроса ТУ'!C44)</f>
      </c>
      <c r="D33" s="2">
        <f>IF(OR(ISBLANK(Таблица2[[#This Row],[Оборудование]]),Таблица2[[#This Row],[Оборудование]]=""),"",'Спецификация для запроса ТУ'!F44)</f>
      </c>
      <c r="E33" s="2">
        <f>IF(OR(ISBLANK(Таблица2[[#This Row],[Оборудование]]),Таблица2[[#This Row],[Оборудование]]=""),"",'Спецификация для запроса ТУ'!H44)</f>
      </c>
      <c r="F33" s="2">
        <f>IF(IF(OR(ISBLANK(Таблица2[[#This Row],[Оборудование]]),Таблица2[[#This Row],[Оборудование]]=""),"",'Спецификация для запроса ТУ'!G44)="-","",IF(OR(ISBLANK(Таблица2[[#This Row],[Оборудование]]),Таблица2[[#This Row],[Оборудование]]=""),"",'Спецификация для запроса ТУ'!G44))</f>
      </c>
      <c r="G33" s="2">
        <f>IF(OR(ISBLANK(Таблица2[[#This Row],[Оборудование]]),Таблица2[[#This Row],[Оборудование]]=""),"","Не задано")</f>
      </c>
    </row>
    <row r="34" spans="1:7" x14ac:dyDescent="0.25">
      <c r="A34" s="2">
        <f>IF(OR(ISBLANK(Таблица2[[#This Row],[Оборудование]]),Таблица2[[#This Row],[Оборудование]]=""),"",'Спецификация для запроса ТУ'!$D$7)</f>
      </c>
      <c r="B34" s="2">
        <f>IF(OR(ISBLANK(Таблица2[[#This Row],[Оборудование]]),Таблица2[[#This Row],[Оборудование]]=""),"",'Спецификация для запроса ТУ'!$D$6)</f>
      </c>
      <c r="C34" s="2">
        <f>IF(ISBLANK('Спецификация для запроса ТУ'!C45),"",'Спецификация для запроса ТУ'!C45)</f>
      </c>
      <c r="D34" s="2">
        <f>IF(OR(ISBLANK(Таблица2[[#This Row],[Оборудование]]),Таблица2[[#This Row],[Оборудование]]=""),"",'Спецификация для запроса ТУ'!F45)</f>
      </c>
      <c r="E34" s="2">
        <f>IF(OR(ISBLANK(Таблица2[[#This Row],[Оборудование]]),Таблица2[[#This Row],[Оборудование]]=""),"",'Спецификация для запроса ТУ'!H45)</f>
      </c>
      <c r="F34" s="2">
        <f>IF(IF(OR(ISBLANK(Таблица2[[#This Row],[Оборудование]]),Таблица2[[#This Row],[Оборудование]]=""),"",'Спецификация для запроса ТУ'!G45)="-","",IF(OR(ISBLANK(Таблица2[[#This Row],[Оборудование]]),Таблица2[[#This Row],[Оборудование]]=""),"",'Спецификация для запроса ТУ'!G45))</f>
      </c>
      <c r="G34" s="2">
        <f>IF(OR(ISBLANK(Таблица2[[#This Row],[Оборудование]]),Таблица2[[#This Row],[Оборудование]]=""),"","Не задано")</f>
      </c>
    </row>
  </sheetData>
  <sheetProtection sheet="1" algorithmName="SHA-512" hashValue="Yxv661aIKJWLnqTLlA5RlbHh8xZR3dBlvtQRsxSlgnyqkXjpZ8yuAINuz0TB6DNVsuSBmEnSYHO7IEdBvIwdUQ==" saltValue="nx/SGhKN66PmqwdmJGjZGA==" spinCount="100000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4"/>
  <sheetViews>
    <sheetView workbookViewId="0" zoomScale="100" zoomScaleNormal="100">
      <selection activeCell="B6" sqref="B6"/>
    </sheetView>
  </sheetViews>
  <sheetFormatPr defaultRowHeight="15" outlineLevelRow="0" outlineLevelCol="0" x14ac:dyDescent="0.25"/>
  <cols>
    <col min="1" max="1" width="18.5703125" style="58" customWidth="1"/>
    <col min="2" max="2" width="39.42578125" style="58" customWidth="1"/>
    <col min="3" max="3" width="29.28515625" style="58" customWidth="1"/>
    <col min="4" max="16384" width="9.140625" style="58" customWidth="1"/>
  </cols>
  <sheetData>
    <row r="1" spans="1:3" x14ac:dyDescent="0.25">
      <c r="A1" s="59" t="s">
        <v>1</v>
      </c>
      <c r="B1" s="60" t="s">
        <v>4</v>
      </c>
      <c r="C1" s="60" t="s">
        <v>6</v>
      </c>
    </row>
    <row r="2" spans="1:3" x14ac:dyDescent="0.25">
      <c r="A2" s="58" t="s">
        <v>9</v>
      </c>
      <c r="B2" s="58" t="s">
        <v>9</v>
      </c>
      <c r="C2" s="58" t="s">
        <v>641</v>
      </c>
    </row>
    <row r="3" spans="1:3" x14ac:dyDescent="0.25">
      <c r="A3" s="1" t="s">
        <v>642</v>
      </c>
      <c r="B3" s="58" t="s">
        <v>643</v>
      </c>
      <c r="C3" s="58" t="s">
        <v>644</v>
      </c>
    </row>
    <row r="4" spans="1:3" x14ac:dyDescent="0.25">
      <c r="A4" s="1" t="s">
        <v>645</v>
      </c>
      <c r="B4" s="58" t="s">
        <v>646</v>
      </c>
      <c r="C4" s="58" t="s">
        <v>647</v>
      </c>
    </row>
    <row r="5" spans="1:3" x14ac:dyDescent="0.25">
      <c r="A5" s="1" t="s">
        <v>648</v>
      </c>
      <c r="B5" s="58" t="s">
        <v>649</v>
      </c>
      <c r="C5" s="58" t="s">
        <v>650</v>
      </c>
    </row>
    <row r="6" spans="1:3" x14ac:dyDescent="0.25">
      <c r="A6" s="1" t="s">
        <v>651</v>
      </c>
      <c r="B6" s="58" t="s">
        <v>652</v>
      </c>
      <c r="C6" s="58" t="s">
        <v>653</v>
      </c>
    </row>
    <row r="7" spans="1:3" x14ac:dyDescent="0.25">
      <c r="A7" s="58"/>
      <c r="B7" s="58" t="s">
        <v>654</v>
      </c>
      <c r="C7" s="58" t="s">
        <v>655</v>
      </c>
    </row>
    <row r="8" spans="1:3" x14ac:dyDescent="0.25">
      <c r="A8" s="58"/>
      <c r="B8" s="58" t="s">
        <v>656</v>
      </c>
      <c r="C8" s="58" t="s">
        <v>657</v>
      </c>
    </row>
    <row r="9" spans="1:3" x14ac:dyDescent="0.25">
      <c r="A9" s="58"/>
      <c r="B9" s="58" t="s">
        <v>658</v>
      </c>
      <c r="C9" s="58" t="s">
        <v>659</v>
      </c>
    </row>
    <row r="10" spans="1:3" x14ac:dyDescent="0.25">
      <c r="A10" s="58"/>
      <c r="B10" s="58" t="s">
        <v>660</v>
      </c>
      <c r="C10" s="58" t="s">
        <v>661</v>
      </c>
    </row>
    <row r="11" spans="1:2" x14ac:dyDescent="0.25">
      <c r="A11" s="58"/>
      <c r="B11" s="58" t="s">
        <v>662</v>
      </c>
    </row>
    <row r="12" spans="1:2" x14ac:dyDescent="0.25">
      <c r="A12" s="58"/>
      <c r="B12" s="58" t="s">
        <v>663</v>
      </c>
    </row>
    <row r="13" spans="1:2" x14ac:dyDescent="0.25">
      <c r="A13" s="58"/>
      <c r="B13" s="58" t="s">
        <v>664</v>
      </c>
    </row>
    <row r="14" spans="1:2" x14ac:dyDescent="0.25">
      <c r="A14" s="58"/>
      <c r="B14" s="58" t="s">
        <v>665</v>
      </c>
    </row>
  </sheetData>
  <sheetProtection sheet="1" algorithmName="SHA-512" hashValue="bkDsgNjmZVzinkWx3IhCWA0uF3h2N46JStKNDNtQqBKnxpclQfZ2igSniUZd8wepbsCjeXbmgAhr/BWY2AodzA==" saltValue="RsC+L8Eqts312e4WK9DujQ==" spinCount="100000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304"/>
  <sheetViews>
    <sheetView workbookViewId="0" zoomScale="100" zoomScaleNormal="100">
      <selection activeCell="E14" sqref="E14"/>
    </sheetView>
  </sheetViews>
  <sheetFormatPr defaultRowHeight="15" outlineLevelRow="0" outlineLevelCol="0" x14ac:dyDescent="0.25"/>
  <cols>
    <col min="1" max="1" width="21.42578125" style="1" customWidth="1"/>
    <col min="2" max="2" width="19.5703125" style="1" customWidth="1"/>
    <col min="3" max="3" width="22.85546875" style="1" customWidth="1"/>
    <col min="4" max="7" width="21.42578125" style="1" customWidth="1"/>
    <col min="8" max="8" width="15.85546875" style="1" customWidth="1"/>
    <col min="9" max="9" width="17.85546875" style="1" customWidth="1"/>
    <col min="10" max="10" width="24.7109375" style="1" customWidth="1"/>
    <col min="11" max="11" width="16.5703125" style="1" customWidth="1"/>
    <col min="12" max="12" width="18.7109375" style="1" customWidth="1"/>
    <col min="13" max="13" width="20.28515625" style="1" customWidth="1"/>
    <col min="14" max="14" width="37.85546875" style="1" customWidth="1"/>
    <col min="15" max="15" width="37.7109375" style="1" customWidth="1"/>
    <col min="16" max="16384" width="9.140625" style="1" customWidth="1"/>
  </cols>
  <sheetData>
    <row r="1" spans="1:15" s="1" customFormat="1" x14ac:dyDescent="0.25">
      <c r="A1" s="1" t="s">
        <v>23</v>
      </c>
      <c r="B1" s="54" t="s">
        <v>24</v>
      </c>
      <c r="C1" s="54" t="s">
        <v>14</v>
      </c>
      <c r="D1" s="1" t="s">
        <v>25</v>
      </c>
      <c r="E1" s="1" t="s">
        <v>26</v>
      </c>
      <c r="F1" s="1" t="s">
        <v>27</v>
      </c>
      <c r="G1" s="1" t="s">
        <v>28</v>
      </c>
      <c r="H1" s="54" t="s">
        <v>29</v>
      </c>
      <c r="I1" s="54" t="s">
        <v>30</v>
      </c>
      <c r="J1" s="1" t="s">
        <v>31</v>
      </c>
      <c r="K1" s="54" t="s">
        <v>32</v>
      </c>
      <c r="L1" s="54" t="s">
        <v>33</v>
      </c>
      <c r="M1" s="54" t="s">
        <v>34</v>
      </c>
      <c r="N1" s="1"/>
      <c r="O1" s="55" t="s">
        <v>35</v>
      </c>
    </row>
    <row r="2" spans="1:15" x14ac:dyDescent="0.25">
      <c r="A2" s="1" t="s">
        <v>36</v>
      </c>
      <c r="B2" s="56" t="s">
        <v>37</v>
      </c>
      <c r="C2" s="56" t="s">
        <v>38</v>
      </c>
      <c r="D2" s="1" t="s">
        <v>36</v>
      </c>
      <c r="E2" s="1" t="s">
        <v>36</v>
      </c>
      <c r="F2" s="1" t="s">
        <v>36</v>
      </c>
      <c r="G2" s="1" t="s">
        <v>36</v>
      </c>
      <c r="H2" s="56">
        <v>12.1</v>
      </c>
      <c r="I2" s="56" t="s">
        <v>39</v>
      </c>
      <c r="J2" s="1" t="s">
        <v>36</v>
      </c>
      <c r="K2" s="56" t="s">
        <v>40</v>
      </c>
      <c r="L2" s="56">
        <v>0.115</v>
      </c>
      <c r="M2" s="56" t="s">
        <v>40</v>
      </c>
      <c r="N2" s="1"/>
      <c r="O2" s="57" t="str">
        <f t="array" ref="O2">_xlfn._xlws.FILTER(Таблица4[Наименование],ISNUMBER(SEARCH('Спецификация для запроса ТУ'!C10,Таблица4[Наименование])),"")</f>
        <v>{{table.spr_oborud}}</v>
      </c>
    </row>
    <row r="3" spans="1:15" x14ac:dyDescent="0.25">
      <c r="A3" s="1" t="s">
        <v>36</v>
      </c>
      <c r="B3" s="56" t="s">
        <v>41</v>
      </c>
      <c r="C3" s="56" t="s">
        <v>38</v>
      </c>
      <c r="D3" s="1" t="s">
        <v>36</v>
      </c>
      <c r="E3" s="1" t="s">
        <v>36</v>
      </c>
      <c r="F3" s="1" t="s">
        <v>36</v>
      </c>
      <c r="G3" s="1" t="s">
        <v>36</v>
      </c>
      <c r="H3" s="56">
        <v>17.3</v>
      </c>
      <c r="I3" s="56" t="s">
        <v>42</v>
      </c>
      <c r="J3" s="1" t="s">
        <v>36</v>
      </c>
      <c r="K3" s="56" t="s">
        <v>40</v>
      </c>
      <c r="L3" s="56">
        <v>0.317</v>
      </c>
      <c r="M3" s="56" t="s">
        <v>40</v>
      </c>
      <c r="N3" s="1"/>
      <c r="O3" s="57">
        <f t="array" ref="O2">_xlfn._xlws.FILTER(Таблица4[Наименование],ISNUMBER(SEARCH('Спецификация для запроса ТУ'!C312,Таблица4[Наименование])),"")</f>
      </c>
    </row>
    <row r="4" spans="1:15" x14ac:dyDescent="0.25">
      <c r="A4" s="1" t="s">
        <v>36</v>
      </c>
      <c r="B4" s="56" t="s">
        <v>43</v>
      </c>
      <c r="C4" s="56" t="s">
        <v>38</v>
      </c>
      <c r="D4" s="1" t="s">
        <v>36</v>
      </c>
      <c r="E4" s="1" t="s">
        <v>36</v>
      </c>
      <c r="F4" s="1" t="s">
        <v>36</v>
      </c>
      <c r="G4" s="1" t="s">
        <v>36</v>
      </c>
      <c r="H4" s="56">
        <v>15</v>
      </c>
      <c r="I4" s="56" t="s">
        <v>44</v>
      </c>
      <c r="J4" s="1" t="s">
        <v>36</v>
      </c>
      <c r="K4" s="56" t="s">
        <v>40</v>
      </c>
      <c r="L4" s="56">
        <v>0.116</v>
      </c>
      <c r="M4" s="56" t="s">
        <v>40</v>
      </c>
      <c r="N4" s="1"/>
      <c r="O4" s="57">
        <f t="array" ref="O2">_xlfn._xlws.FILTER(Таблица4[Наименование],ISNUMBER(SEARCH('Спецификация для запроса ТУ'!C312,Таблица4[Наименование])),"")</f>
      </c>
    </row>
    <row r="5" spans="1:15" x14ac:dyDescent="0.25">
      <c r="A5" s="1" t="s">
        <v>36</v>
      </c>
      <c r="B5" s="56" t="s">
        <v>45</v>
      </c>
      <c r="C5" s="56" t="s">
        <v>38</v>
      </c>
      <c r="D5" s="1" t="s">
        <v>36</v>
      </c>
      <c r="E5" s="1" t="s">
        <v>36</v>
      </c>
      <c r="F5" s="1" t="s">
        <v>36</v>
      </c>
      <c r="G5" s="1" t="s">
        <v>36</v>
      </c>
      <c r="H5" s="56">
        <v>8</v>
      </c>
      <c r="I5" s="56" t="s">
        <v>46</v>
      </c>
      <c r="J5" s="1" t="s">
        <v>36</v>
      </c>
      <c r="K5" s="56" t="s">
        <v>40</v>
      </c>
      <c r="L5" s="56">
        <v>0.071</v>
      </c>
      <c r="M5" s="56" t="s">
        <v>40</v>
      </c>
      <c r="N5" s="1"/>
      <c r="O5" s="57">
        <f t="array" ref="O2">_xlfn._xlws.FILTER(Таблица4[Наименование],ISNUMBER(SEARCH('Спецификация для запроса ТУ'!C312,Таблица4[Наименование])),"")</f>
      </c>
    </row>
    <row r="6" spans="1:15" x14ac:dyDescent="0.25">
      <c r="A6" s="1" t="s">
        <v>36</v>
      </c>
      <c r="B6" s="56" t="s">
        <v>47</v>
      </c>
      <c r="C6" s="56" t="s">
        <v>38</v>
      </c>
      <c r="D6" s="1" t="s">
        <v>36</v>
      </c>
      <c r="E6" s="1" t="s">
        <v>36</v>
      </c>
      <c r="F6" s="1" t="s">
        <v>36</v>
      </c>
      <c r="G6" s="1" t="s">
        <v>36</v>
      </c>
      <c r="H6" s="56">
        <v>12</v>
      </c>
      <c r="I6" s="56" t="s">
        <v>48</v>
      </c>
      <c r="J6" s="1" t="s">
        <v>36</v>
      </c>
      <c r="K6" s="56" t="s">
        <v>40</v>
      </c>
      <c r="L6" s="56">
        <v>0.283</v>
      </c>
      <c r="M6" s="56" t="s">
        <v>40</v>
      </c>
      <c r="N6" s="1"/>
      <c r="O6" s="57">
        <f t="array" ref="O2">_xlfn._xlws.FILTER(Таблица4[Наименование],ISNUMBER(SEARCH('Спецификация для запроса ТУ'!C312,Таблица4[Наименование])),"")</f>
      </c>
    </row>
    <row r="7" spans="1:15" x14ac:dyDescent="0.25">
      <c r="A7" s="1" t="s">
        <v>36</v>
      </c>
      <c r="B7" s="56" t="s">
        <v>49</v>
      </c>
      <c r="C7" s="56" t="s">
        <v>38</v>
      </c>
      <c r="D7" s="1" t="s">
        <v>36</v>
      </c>
      <c r="E7" s="1" t="s">
        <v>36</v>
      </c>
      <c r="F7" s="1" t="s">
        <v>36</v>
      </c>
      <c r="G7" s="1" t="s">
        <v>36</v>
      </c>
      <c r="H7" s="56">
        <v>8</v>
      </c>
      <c r="I7" s="56" t="s">
        <v>46</v>
      </c>
      <c r="J7" s="1" t="s">
        <v>36</v>
      </c>
      <c r="K7" s="56" t="s">
        <v>40</v>
      </c>
      <c r="L7" s="56">
        <v>0.071</v>
      </c>
      <c r="M7" s="56" t="s">
        <v>50</v>
      </c>
      <c r="N7" s="1"/>
      <c r="O7" s="57">
        <f t="array" ref="O2">_xlfn._xlws.FILTER(Таблица4[Наименование],ISNUMBER(SEARCH('Спецификация для запроса ТУ'!C312,Таблица4[Наименование])),"")</f>
      </c>
    </row>
    <row r="8" spans="1:15" x14ac:dyDescent="0.25">
      <c r="A8" s="1" t="s">
        <v>36</v>
      </c>
      <c r="B8" s="56" t="s">
        <v>51</v>
      </c>
      <c r="C8" s="56" t="s">
        <v>38</v>
      </c>
      <c r="D8" s="1" t="s">
        <v>36</v>
      </c>
      <c r="E8" s="1" t="s">
        <v>36</v>
      </c>
      <c r="F8" s="1" t="s">
        <v>36</v>
      </c>
      <c r="G8" s="1" t="s">
        <v>36</v>
      </c>
      <c r="H8" s="56">
        <v>1.8</v>
      </c>
      <c r="I8" s="56" t="s">
        <v>52</v>
      </c>
      <c r="J8" s="1" t="s">
        <v>36</v>
      </c>
      <c r="K8" s="56" t="s">
        <v>40</v>
      </c>
      <c r="L8" s="56">
        <v>0.093</v>
      </c>
      <c r="M8" s="56" t="s">
        <v>40</v>
      </c>
      <c r="N8" s="1"/>
      <c r="O8" s="57">
        <f t="array" ref="O2">_xlfn._xlws.FILTER(Таблица4[Наименование],ISNUMBER(SEARCH('Спецификация для запроса ТУ'!C312,Таблица4[Наименование])),"")</f>
      </c>
    </row>
    <row r="9" spans="1:15" x14ac:dyDescent="0.25">
      <c r="A9" s="1" t="s">
        <v>36</v>
      </c>
      <c r="B9" s="56" t="s">
        <v>53</v>
      </c>
      <c r="C9" s="56" t="s">
        <v>38</v>
      </c>
      <c r="D9" s="1" t="s">
        <v>36</v>
      </c>
      <c r="E9" s="1" t="s">
        <v>36</v>
      </c>
      <c r="F9" s="1" t="s">
        <v>36</v>
      </c>
      <c r="G9" s="1" t="s">
        <v>36</v>
      </c>
      <c r="H9" s="56">
        <v>3.1</v>
      </c>
      <c r="I9" s="56" t="s">
        <v>54</v>
      </c>
      <c r="J9" s="1" t="s">
        <v>36</v>
      </c>
      <c r="K9" s="56" t="s">
        <v>40</v>
      </c>
      <c r="L9" s="56">
        <v>0.058</v>
      </c>
      <c r="M9" s="56" t="s">
        <v>40</v>
      </c>
      <c r="N9" s="1"/>
      <c r="O9" s="57">
        <f t="array" ref="O2">_xlfn._xlws.FILTER(Таблица4[Наименование],ISNUMBER(SEARCH('Спецификация для запроса ТУ'!C312,Таблица4[Наименование])),"")</f>
      </c>
    </row>
    <row r="10" spans="1:15" x14ac:dyDescent="0.25">
      <c r="A10" s="1" t="s">
        <v>36</v>
      </c>
      <c r="B10" s="56" t="s">
        <v>55</v>
      </c>
      <c r="C10" s="56" t="s">
        <v>38</v>
      </c>
      <c r="D10" s="1" t="s">
        <v>36</v>
      </c>
      <c r="E10" s="1" t="s">
        <v>36</v>
      </c>
      <c r="F10" s="1" t="s">
        <v>36</v>
      </c>
      <c r="G10" s="1" t="s">
        <v>36</v>
      </c>
      <c r="H10" s="56">
        <v>2.5</v>
      </c>
      <c r="I10" s="56" t="s">
        <v>56</v>
      </c>
      <c r="J10" s="1" t="s">
        <v>36</v>
      </c>
      <c r="K10" s="56" t="s">
        <v>40</v>
      </c>
      <c r="L10" s="56">
        <v>0.12</v>
      </c>
      <c r="M10" s="56" t="s">
        <v>40</v>
      </c>
      <c r="N10" s="1"/>
      <c r="O10" s="57">
        <f t="array" ref="O2">_xlfn._xlws.FILTER(Таблица4[Наименование],ISNUMBER(SEARCH('Спецификация для запроса ТУ'!C312,Таблица4[Наименование])),"")</f>
      </c>
    </row>
    <row r="11" spans="1:15" x14ac:dyDescent="0.25">
      <c r="A11" s="1" t="s">
        <v>36</v>
      </c>
      <c r="B11" s="56" t="s">
        <v>57</v>
      </c>
      <c r="C11" s="56" t="s">
        <v>38</v>
      </c>
      <c r="D11" s="1" t="s">
        <v>36</v>
      </c>
      <c r="E11" s="1" t="s">
        <v>36</v>
      </c>
      <c r="F11" s="1" t="s">
        <v>36</v>
      </c>
      <c r="G11" s="1" t="s">
        <v>36</v>
      </c>
      <c r="H11" s="56">
        <v>8.8</v>
      </c>
      <c r="I11" s="56" t="s">
        <v>46</v>
      </c>
      <c r="J11" s="1" t="s">
        <v>36</v>
      </c>
      <c r="K11" s="56" t="s">
        <v>40</v>
      </c>
      <c r="L11" s="56">
        <v>0.071</v>
      </c>
      <c r="M11" s="56" t="s">
        <v>40</v>
      </c>
      <c r="N11" s="1"/>
      <c r="O11" s="57">
        <f t="array" ref="O2">_xlfn._xlws.FILTER(Таблица4[Наименование],ISNUMBER(SEARCH('Спецификация для запроса ТУ'!C312,Таблица4[Наименование])),"")</f>
      </c>
    </row>
    <row r="12" spans="1:15" x14ac:dyDescent="0.25">
      <c r="A12" s="1" t="s">
        <v>36</v>
      </c>
      <c r="B12" s="56" t="s">
        <v>58</v>
      </c>
      <c r="C12" s="56" t="s">
        <v>38</v>
      </c>
      <c r="D12" s="1" t="s">
        <v>36</v>
      </c>
      <c r="E12" s="1" t="s">
        <v>36</v>
      </c>
      <c r="F12" s="1" t="s">
        <v>36</v>
      </c>
      <c r="G12" s="1" t="s">
        <v>36</v>
      </c>
      <c r="H12" s="56">
        <v>5.3</v>
      </c>
      <c r="I12" s="56" t="s">
        <v>46</v>
      </c>
      <c r="J12" s="1" t="s">
        <v>36</v>
      </c>
      <c r="K12" s="56" t="s">
        <v>40</v>
      </c>
      <c r="L12" s="56">
        <v>0.071</v>
      </c>
      <c r="M12" s="56" t="s">
        <v>40</v>
      </c>
      <c r="N12" s="1"/>
      <c r="O12" s="57">
        <f t="array" ref="O2">_xlfn._xlws.FILTER(Таблица4[Наименование],ISNUMBER(SEARCH('Спецификация для запроса ТУ'!C312,Таблица4[Наименование])),"")</f>
      </c>
    </row>
    <row r="13" spans="1:15" x14ac:dyDescent="0.25">
      <c r="A13" s="1" t="s">
        <v>36</v>
      </c>
      <c r="B13" s="56" t="s">
        <v>59</v>
      </c>
      <c r="C13" s="56" t="s">
        <v>38</v>
      </c>
      <c r="D13" s="1" t="s">
        <v>36</v>
      </c>
      <c r="E13" s="1" t="s">
        <v>36</v>
      </c>
      <c r="F13" s="1" t="s">
        <v>36</v>
      </c>
      <c r="G13" s="1" t="s">
        <v>36</v>
      </c>
      <c r="H13" s="56">
        <v>16</v>
      </c>
      <c r="I13" s="56" t="s">
        <v>48</v>
      </c>
      <c r="J13" s="1" t="s">
        <v>36</v>
      </c>
      <c r="K13" s="56" t="s">
        <v>40</v>
      </c>
      <c r="L13" s="56">
        <v>0.283</v>
      </c>
      <c r="M13" s="56" t="s">
        <v>40</v>
      </c>
      <c r="N13" s="1"/>
      <c r="O13" s="57">
        <f t="array" ref="O2">_xlfn._xlws.FILTER(Таблица4[Наименование],ISNUMBER(SEARCH('Спецификация для запроса ТУ'!C312,Таблица4[Наименование])),"")</f>
      </c>
    </row>
    <row r="14" spans="1:15" x14ac:dyDescent="0.25">
      <c r="A14" s="1" t="s">
        <v>36</v>
      </c>
      <c r="B14" s="56" t="s">
        <v>60</v>
      </c>
      <c r="C14" s="56" t="s">
        <v>38</v>
      </c>
      <c r="D14" s="1" t="s">
        <v>36</v>
      </c>
      <c r="E14" s="1" t="s">
        <v>36</v>
      </c>
      <c r="F14" s="1" t="s">
        <v>36</v>
      </c>
      <c r="G14" s="1" t="s">
        <v>36</v>
      </c>
      <c r="H14" s="56">
        <v>4.8</v>
      </c>
      <c r="I14" s="56" t="s">
        <v>61</v>
      </c>
      <c r="J14" s="1" t="s">
        <v>36</v>
      </c>
      <c r="K14" s="56" t="s">
        <v>40</v>
      </c>
      <c r="L14" s="56">
        <v>0.084</v>
      </c>
      <c r="M14" s="56" t="s">
        <v>40</v>
      </c>
      <c r="N14" s="1"/>
      <c r="O14" s="57">
        <f t="array" ref="O2">_xlfn._xlws.FILTER(Таблица4[Наименование],ISNUMBER(SEARCH('Спецификация для запроса ТУ'!C312,Таблица4[Наименование])),"")</f>
      </c>
    </row>
    <row r="15" spans="1:15" x14ac:dyDescent="0.25">
      <c r="A15" s="1" t="s">
        <v>36</v>
      </c>
      <c r="B15" s="56" t="s">
        <v>62</v>
      </c>
      <c r="C15" s="56" t="s">
        <v>38</v>
      </c>
      <c r="D15" s="1" t="s">
        <v>36</v>
      </c>
      <c r="E15" s="1" t="s">
        <v>36</v>
      </c>
      <c r="F15" s="1" t="s">
        <v>36</v>
      </c>
      <c r="G15" s="1" t="s">
        <v>36</v>
      </c>
      <c r="H15" s="56">
        <v>7</v>
      </c>
      <c r="I15" s="56" t="s">
        <v>44</v>
      </c>
      <c r="J15" s="1" t="s">
        <v>36</v>
      </c>
      <c r="K15" s="56" t="s">
        <v>40</v>
      </c>
      <c r="L15" s="56">
        <v>0.116</v>
      </c>
      <c r="M15" s="56" t="s">
        <v>40</v>
      </c>
      <c r="N15" s="1"/>
      <c r="O15" s="57">
        <f t="array" ref="O2">_xlfn._xlws.FILTER(Таблица4[Наименование],ISNUMBER(SEARCH('Спецификация для запроса ТУ'!C312,Таблица4[Наименование])),"")</f>
      </c>
    </row>
    <row r="16" spans="1:15" x14ac:dyDescent="0.25">
      <c r="A16" s="1" t="s">
        <v>36</v>
      </c>
      <c r="B16" s="56" t="s">
        <v>63</v>
      </c>
      <c r="C16" s="56" t="s">
        <v>38</v>
      </c>
      <c r="D16" s="1" t="s">
        <v>36</v>
      </c>
      <c r="E16" s="1" t="s">
        <v>36</v>
      </c>
      <c r="F16" s="1" t="s">
        <v>36</v>
      </c>
      <c r="G16" s="1" t="s">
        <v>36</v>
      </c>
      <c r="H16" s="56">
        <v>10.4</v>
      </c>
      <c r="I16" s="56" t="s">
        <v>64</v>
      </c>
      <c r="J16" s="1" t="s">
        <v>36</v>
      </c>
      <c r="K16" s="56" t="s">
        <v>40</v>
      </c>
      <c r="L16" s="56">
        <v>0.332</v>
      </c>
      <c r="M16" s="56" t="s">
        <v>40</v>
      </c>
      <c r="N16" s="1"/>
      <c r="O16" s="57">
        <f t="array" ref="O2">_xlfn._xlws.FILTER(Таблица4[Наименование],ISNUMBER(SEARCH('Спецификация для запроса ТУ'!C312,Таблица4[Наименование])),"")</f>
      </c>
    </row>
    <row r="17" spans="1:15" x14ac:dyDescent="0.25">
      <c r="A17" s="1" t="s">
        <v>36</v>
      </c>
      <c r="B17" s="56" t="s">
        <v>65</v>
      </c>
      <c r="C17" s="56" t="s">
        <v>38</v>
      </c>
      <c r="D17" s="1" t="s">
        <v>36</v>
      </c>
      <c r="E17" s="1" t="s">
        <v>36</v>
      </c>
      <c r="F17" s="1" t="s">
        <v>36</v>
      </c>
      <c r="G17" s="1" t="s">
        <v>36</v>
      </c>
      <c r="H17" s="56">
        <v>5.6</v>
      </c>
      <c r="I17" s="56" t="s">
        <v>66</v>
      </c>
      <c r="J17" s="1" t="s">
        <v>36</v>
      </c>
      <c r="K17" s="56" t="s">
        <v>40</v>
      </c>
      <c r="L17" s="56">
        <v>0.144</v>
      </c>
      <c r="M17" s="56" t="s">
        <v>40</v>
      </c>
      <c r="N17" s="1"/>
      <c r="O17" s="57">
        <f t="array" ref="O2">_xlfn._xlws.FILTER(Таблица4[Наименование],ISNUMBER(SEARCH('Спецификация для запроса ТУ'!C312,Таблица4[Наименование])),"")</f>
      </c>
    </row>
    <row r="18" spans="1:15" x14ac:dyDescent="0.25">
      <c r="A18" s="1" t="s">
        <v>36</v>
      </c>
      <c r="B18" s="56" t="s">
        <v>67</v>
      </c>
      <c r="C18" s="56" t="s">
        <v>38</v>
      </c>
      <c r="D18" s="1" t="s">
        <v>36</v>
      </c>
      <c r="E18" s="1" t="s">
        <v>36</v>
      </c>
      <c r="F18" s="1" t="s">
        <v>36</v>
      </c>
      <c r="G18" s="1" t="s">
        <v>36</v>
      </c>
      <c r="H18" s="56">
        <v>14.8</v>
      </c>
      <c r="I18" s="56" t="s">
        <v>68</v>
      </c>
      <c r="J18" s="1" t="s">
        <v>36</v>
      </c>
      <c r="K18" s="56" t="s">
        <v>40</v>
      </c>
      <c r="L18" s="56">
        <v>0.123</v>
      </c>
      <c r="M18" s="56" t="s">
        <v>40</v>
      </c>
      <c r="N18" s="1"/>
      <c r="O18" s="57">
        <f t="array" ref="O2">_xlfn._xlws.FILTER(Таблица4[Наименование],ISNUMBER(SEARCH('Спецификация для запроса ТУ'!C312,Таблица4[Наименование])),"")</f>
      </c>
    </row>
    <row r="19" spans="1:15" x14ac:dyDescent="0.25">
      <c r="A19" s="1" t="s">
        <v>36</v>
      </c>
      <c r="B19" s="56" t="s">
        <v>69</v>
      </c>
      <c r="C19" s="56" t="s">
        <v>38</v>
      </c>
      <c r="D19" s="1" t="s">
        <v>36</v>
      </c>
      <c r="E19" s="1" t="s">
        <v>36</v>
      </c>
      <c r="F19" s="1" t="s">
        <v>36</v>
      </c>
      <c r="G19" s="1" t="s">
        <v>36</v>
      </c>
      <c r="H19" s="56">
        <v>16.8</v>
      </c>
      <c r="I19" s="56" t="s">
        <v>64</v>
      </c>
      <c r="J19" s="1" t="s">
        <v>36</v>
      </c>
      <c r="K19" s="56" t="s">
        <v>40</v>
      </c>
      <c r="L19" s="56">
        <v>0.332</v>
      </c>
      <c r="M19" s="56" t="s">
        <v>40</v>
      </c>
      <c r="N19" s="1"/>
      <c r="O19" s="57">
        <f t="array" ref="O2">_xlfn._xlws.FILTER(Таблица4[Наименование],ISNUMBER(SEARCH('Спецификация для запроса ТУ'!C312,Таблица4[Наименование])),"")</f>
      </c>
    </row>
    <row r="20" spans="1:15" x14ac:dyDescent="0.25">
      <c r="A20" s="1" t="s">
        <v>36</v>
      </c>
      <c r="B20" s="56" t="s">
        <v>70</v>
      </c>
      <c r="C20" s="56" t="s">
        <v>38</v>
      </c>
      <c r="D20" s="1" t="s">
        <v>36</v>
      </c>
      <c r="E20" s="1" t="s">
        <v>36</v>
      </c>
      <c r="F20" s="1" t="s">
        <v>36</v>
      </c>
      <c r="G20" s="1" t="s">
        <v>36</v>
      </c>
      <c r="H20" s="56">
        <v>6</v>
      </c>
      <c r="I20" s="56" t="s">
        <v>71</v>
      </c>
      <c r="J20" s="1" t="s">
        <v>36</v>
      </c>
      <c r="K20" s="56" t="s">
        <v>40</v>
      </c>
      <c r="L20" s="56">
        <v>0.031</v>
      </c>
      <c r="M20" s="56" t="s">
        <v>40</v>
      </c>
      <c r="N20" s="1"/>
      <c r="O20" s="57">
        <f t="array" ref="O2">_xlfn._xlws.FILTER(Таблица4[Наименование],ISNUMBER(SEARCH('Спецификация для запроса ТУ'!C312,Таблица4[Наименование])),"")</f>
      </c>
    </row>
    <row r="21" spans="1:15" x14ac:dyDescent="0.25">
      <c r="A21" s="1" t="s">
        <v>36</v>
      </c>
      <c r="B21" s="56" t="s">
        <v>72</v>
      </c>
      <c r="C21" s="56" t="s">
        <v>38</v>
      </c>
      <c r="D21" s="1" t="s">
        <v>36</v>
      </c>
      <c r="E21" s="1" t="s">
        <v>36</v>
      </c>
      <c r="F21" s="1" t="s">
        <v>36</v>
      </c>
      <c r="G21" s="1" t="s">
        <v>36</v>
      </c>
      <c r="H21" s="56">
        <v>9</v>
      </c>
      <c r="I21" s="56" t="s">
        <v>46</v>
      </c>
      <c r="J21" s="1" t="s">
        <v>36</v>
      </c>
      <c r="K21" s="56" t="s">
        <v>40</v>
      </c>
      <c r="L21" s="56">
        <v>0.071</v>
      </c>
      <c r="M21" s="56" t="s">
        <v>40</v>
      </c>
      <c r="N21" s="1"/>
      <c r="O21" s="57">
        <f t="array" ref="O2">_xlfn._xlws.FILTER(Таблица4[Наименование],ISNUMBER(SEARCH('Спецификация для запроса ТУ'!C312,Таблица4[Наименование])),"")</f>
      </c>
    </row>
    <row r="22" spans="1:15" x14ac:dyDescent="0.25">
      <c r="A22" s="1" t="s">
        <v>36</v>
      </c>
      <c r="B22" s="56" t="s">
        <v>73</v>
      </c>
      <c r="C22" s="56" t="s">
        <v>38</v>
      </c>
      <c r="D22" s="1" t="s">
        <v>36</v>
      </c>
      <c r="E22" s="1" t="s">
        <v>36</v>
      </c>
      <c r="F22" s="1" t="s">
        <v>36</v>
      </c>
      <c r="G22" s="1" t="s">
        <v>36</v>
      </c>
      <c r="H22" s="56">
        <v>12</v>
      </c>
      <c r="I22" s="56" t="s">
        <v>48</v>
      </c>
      <c r="J22" s="1" t="s">
        <v>36</v>
      </c>
      <c r="K22" s="56" t="s">
        <v>40</v>
      </c>
      <c r="L22" s="56">
        <v>0.283</v>
      </c>
      <c r="M22" s="56" t="s">
        <v>40</v>
      </c>
      <c r="N22" s="1"/>
      <c r="O22" s="57">
        <f t="array" ref="O2">_xlfn._xlws.FILTER(Таблица4[Наименование],ISNUMBER(SEARCH('Спецификация для запроса ТУ'!C312,Таблица4[Наименование])),"")</f>
      </c>
    </row>
    <row r="23" spans="1:15" x14ac:dyDescent="0.25">
      <c r="A23" s="1" t="s">
        <v>36</v>
      </c>
      <c r="B23" s="56" t="s">
        <v>74</v>
      </c>
      <c r="C23" s="56" t="s">
        <v>75</v>
      </c>
      <c r="D23" s="1" t="s">
        <v>36</v>
      </c>
      <c r="E23" s="1" t="s">
        <v>36</v>
      </c>
      <c r="F23" s="1" t="s">
        <v>36</v>
      </c>
      <c r="G23" s="1" t="s">
        <v>36</v>
      </c>
      <c r="H23" s="56">
        <v>18.2</v>
      </c>
      <c r="I23" s="56" t="s">
        <v>76</v>
      </c>
      <c r="J23" s="1" t="s">
        <v>36</v>
      </c>
      <c r="K23" s="56">
        <v>8</v>
      </c>
      <c r="L23" s="56">
        <v>0.442</v>
      </c>
      <c r="M23" s="56" t="s">
        <v>77</v>
      </c>
      <c r="N23" s="1"/>
      <c r="O23" s="57">
        <f t="array" ref="O2">_xlfn._xlws.FILTER(Таблица4[Наименование],ISNUMBER(SEARCH('Спецификация для запроса ТУ'!C312,Таблица4[Наименование])),"")</f>
      </c>
    </row>
    <row r="24" spans="1:15" x14ac:dyDescent="0.25">
      <c r="A24" s="1" t="s">
        <v>36</v>
      </c>
      <c r="B24" s="56" t="s">
        <v>78</v>
      </c>
      <c r="C24" s="56" t="s">
        <v>75</v>
      </c>
      <c r="D24" s="1" t="s">
        <v>36</v>
      </c>
      <c r="E24" s="1" t="s">
        <v>36</v>
      </c>
      <c r="F24" s="1" t="s">
        <v>36</v>
      </c>
      <c r="G24" s="1" t="s">
        <v>36</v>
      </c>
      <c r="H24" s="56">
        <v>25.7</v>
      </c>
      <c r="I24" s="56" t="s">
        <v>79</v>
      </c>
      <c r="J24" s="1" t="s">
        <v>36</v>
      </c>
      <c r="K24" s="56">
        <v>8</v>
      </c>
      <c r="L24" s="56">
        <v>0.464</v>
      </c>
      <c r="M24" s="56" t="s">
        <v>77</v>
      </c>
      <c r="N24" s="1"/>
      <c r="O24" s="57">
        <f t="array" ref="O2">_xlfn._xlws.FILTER(Таблица4[Наименование],ISNUMBER(SEARCH('Спецификация для запроса ТУ'!C312,Таблица4[Наименование])),"")</f>
      </c>
    </row>
    <row r="25" spans="1:15" x14ac:dyDescent="0.25">
      <c r="A25" s="1" t="s">
        <v>36</v>
      </c>
      <c r="B25" s="56" t="s">
        <v>80</v>
      </c>
      <c r="C25" s="56" t="s">
        <v>75</v>
      </c>
      <c r="D25" s="1" t="s">
        <v>36</v>
      </c>
      <c r="E25" s="1" t="s">
        <v>36</v>
      </c>
      <c r="F25" s="1" t="s">
        <v>36</v>
      </c>
      <c r="G25" s="1" t="s">
        <v>36</v>
      </c>
      <c r="H25" s="56">
        <v>30.9</v>
      </c>
      <c r="I25" s="56" t="s">
        <v>81</v>
      </c>
      <c r="J25" s="1" t="s">
        <v>36</v>
      </c>
      <c r="K25" s="56">
        <v>8</v>
      </c>
      <c r="L25" s="56">
        <v>0.58</v>
      </c>
      <c r="M25" s="56" t="s">
        <v>77</v>
      </c>
      <c r="N25" s="1"/>
      <c r="O25" s="57">
        <f t="array" ref="O2">_xlfn._xlws.FILTER(Таблица4[Наименование],ISNUMBER(SEARCH('Спецификация для запроса ТУ'!C312,Таблица4[Наименование])),"")</f>
      </c>
    </row>
    <row r="26" spans="1:15" x14ac:dyDescent="0.25">
      <c r="A26" s="1" t="s">
        <v>36</v>
      </c>
      <c r="B26" s="56" t="s">
        <v>82</v>
      </c>
      <c r="C26" s="56" t="s">
        <v>75</v>
      </c>
      <c r="D26" s="1" t="s">
        <v>36</v>
      </c>
      <c r="E26" s="1" t="s">
        <v>36</v>
      </c>
      <c r="F26" s="1" t="s">
        <v>36</v>
      </c>
      <c r="G26" s="1" t="s">
        <v>36</v>
      </c>
      <c r="H26" s="56">
        <v>38.9</v>
      </c>
      <c r="I26" s="56" t="s">
        <v>83</v>
      </c>
      <c r="J26" s="1" t="s">
        <v>36</v>
      </c>
      <c r="K26" s="56">
        <v>16</v>
      </c>
      <c r="L26" s="56">
        <v>0.745</v>
      </c>
      <c r="M26" s="56" t="s">
        <v>84</v>
      </c>
      <c r="N26" s="1"/>
      <c r="O26" s="57">
        <f t="array" ref="O2">_xlfn._xlws.FILTER(Таблица4[Наименование],ISNUMBER(SEARCH('Спецификация для запроса ТУ'!C312,Таблица4[Наименование])),"")</f>
      </c>
    </row>
    <row r="27" spans="1:15" x14ac:dyDescent="0.25">
      <c r="A27" s="1" t="s">
        <v>36</v>
      </c>
      <c r="B27" s="56" t="s">
        <v>85</v>
      </c>
      <c r="C27" s="56" t="s">
        <v>75</v>
      </c>
      <c r="D27" s="1" t="s">
        <v>36</v>
      </c>
      <c r="E27" s="1" t="s">
        <v>36</v>
      </c>
      <c r="F27" s="1" t="s">
        <v>36</v>
      </c>
      <c r="G27" s="1" t="s">
        <v>36</v>
      </c>
      <c r="H27" s="56">
        <v>38.9</v>
      </c>
      <c r="I27" s="56" t="s">
        <v>83</v>
      </c>
      <c r="J27" s="1" t="s">
        <v>36</v>
      </c>
      <c r="K27" s="56">
        <v>16</v>
      </c>
      <c r="L27" s="56">
        <v>0.745</v>
      </c>
      <c r="M27" s="56" t="s">
        <v>84</v>
      </c>
      <c r="N27" s="1"/>
      <c r="O27" s="57">
        <f t="array" ref="O2">_xlfn._xlws.FILTER(Таблица4[Наименование],ISNUMBER(SEARCH('Спецификация для запроса ТУ'!C312,Таблица4[Наименование])),"")</f>
      </c>
    </row>
    <row r="28" spans="1:15" x14ac:dyDescent="0.25">
      <c r="A28" s="1" t="s">
        <v>36</v>
      </c>
      <c r="B28" s="56" t="s">
        <v>86</v>
      </c>
      <c r="C28" s="56" t="s">
        <v>75</v>
      </c>
      <c r="D28" s="1" t="s">
        <v>36</v>
      </c>
      <c r="E28" s="1" t="s">
        <v>36</v>
      </c>
      <c r="F28" s="1" t="s">
        <v>36</v>
      </c>
      <c r="G28" s="1" t="s">
        <v>36</v>
      </c>
      <c r="H28" s="56">
        <v>41.3</v>
      </c>
      <c r="I28" s="56" t="s">
        <v>87</v>
      </c>
      <c r="J28" s="1" t="s">
        <v>36</v>
      </c>
      <c r="K28" s="56">
        <v>10</v>
      </c>
      <c r="L28" s="56">
        <v>0.814</v>
      </c>
      <c r="M28" s="56" t="s">
        <v>88</v>
      </c>
      <c r="N28" s="1"/>
      <c r="O28" s="57">
        <f t="array" ref="O2">_xlfn._xlws.FILTER(Таблица4[Наименование],ISNUMBER(SEARCH('Спецификация для запроса ТУ'!C312,Таблица4[Наименование])),"")</f>
      </c>
    </row>
    <row r="29" spans="1:15" x14ac:dyDescent="0.25">
      <c r="A29" s="1" t="s">
        <v>36</v>
      </c>
      <c r="B29" s="56" t="s">
        <v>89</v>
      </c>
      <c r="C29" s="56" t="s">
        <v>75</v>
      </c>
      <c r="D29" s="1" t="s">
        <v>36</v>
      </c>
      <c r="E29" s="1" t="s">
        <v>36</v>
      </c>
      <c r="F29" s="1" t="s">
        <v>36</v>
      </c>
      <c r="G29" s="1" t="s">
        <v>36</v>
      </c>
      <c r="H29" s="56">
        <v>35</v>
      </c>
      <c r="I29" s="56" t="s">
        <v>90</v>
      </c>
      <c r="J29" s="1" t="s">
        <v>36</v>
      </c>
      <c r="K29" s="56">
        <v>8</v>
      </c>
      <c r="L29" s="56">
        <v>0.639</v>
      </c>
      <c r="M29" s="56" t="s">
        <v>91</v>
      </c>
      <c r="N29" s="1"/>
      <c r="O29" s="57">
        <f t="array" ref="O2">_xlfn._xlws.FILTER(Таблица4[Наименование],ISNUMBER(SEARCH('Спецификация для запроса ТУ'!C312,Таблица4[Наименование])),"")</f>
      </c>
    </row>
    <row r="30" spans="1:15" x14ac:dyDescent="0.25">
      <c r="A30" s="1" t="s">
        <v>36</v>
      </c>
      <c r="B30" s="56" t="s">
        <v>92</v>
      </c>
      <c r="C30" s="56" t="s">
        <v>75</v>
      </c>
      <c r="D30" s="1" t="s">
        <v>36</v>
      </c>
      <c r="E30" s="1" t="s">
        <v>36</v>
      </c>
      <c r="F30" s="1" t="s">
        <v>36</v>
      </c>
      <c r="G30" s="1" t="s">
        <v>36</v>
      </c>
      <c r="H30" s="56">
        <v>40.6</v>
      </c>
      <c r="I30" s="56" t="s">
        <v>93</v>
      </c>
      <c r="J30" s="1" t="s">
        <v>36</v>
      </c>
      <c r="K30" s="56">
        <v>10</v>
      </c>
      <c r="L30" s="56">
        <v>0.71</v>
      </c>
      <c r="M30" s="56" t="s">
        <v>94</v>
      </c>
      <c r="N30" s="1"/>
      <c r="O30" s="57">
        <f t="array" ref="O2">_xlfn._xlws.FILTER(Таблица4[Наименование],ISNUMBER(SEARCH('Спецификация для запроса ТУ'!C312,Таблица4[Наименование])),"")</f>
      </c>
    </row>
    <row r="31" spans="1:15" x14ac:dyDescent="0.25">
      <c r="A31" s="1" t="s">
        <v>36</v>
      </c>
      <c r="B31" s="56" t="s">
        <v>95</v>
      </c>
      <c r="C31" s="56" t="s">
        <v>75</v>
      </c>
      <c r="D31" s="1" t="s">
        <v>36</v>
      </c>
      <c r="E31" s="1" t="s">
        <v>36</v>
      </c>
      <c r="F31" s="1" t="s">
        <v>36</v>
      </c>
      <c r="G31" s="1" t="s">
        <v>36</v>
      </c>
      <c r="H31" s="56">
        <v>26</v>
      </c>
      <c r="I31" s="56" t="s">
        <v>96</v>
      </c>
      <c r="J31" s="1" t="s">
        <v>36</v>
      </c>
      <c r="K31" s="56">
        <v>8</v>
      </c>
      <c r="L31" s="56">
        <v>0.668</v>
      </c>
      <c r="M31" s="56" t="s">
        <v>97</v>
      </c>
      <c r="N31" s="1"/>
      <c r="O31" s="57">
        <f t="array" ref="O2">_xlfn._xlws.FILTER(Таблица4[Наименование],ISNUMBER(SEARCH('Спецификация для запроса ТУ'!C312,Таблица4[Наименование])),"")</f>
      </c>
    </row>
    <row r="32" spans="1:15" x14ac:dyDescent="0.25">
      <c r="A32" s="1" t="s">
        <v>36</v>
      </c>
      <c r="B32" s="56" t="s">
        <v>98</v>
      </c>
      <c r="C32" s="56" t="s">
        <v>75</v>
      </c>
      <c r="D32" s="1" t="s">
        <v>36</v>
      </c>
      <c r="E32" s="1" t="s">
        <v>36</v>
      </c>
      <c r="F32" s="1" t="s">
        <v>36</v>
      </c>
      <c r="G32" s="1" t="s">
        <v>36</v>
      </c>
      <c r="H32" s="56">
        <v>19.7</v>
      </c>
      <c r="I32" s="56" t="s">
        <v>99</v>
      </c>
      <c r="J32" s="1" t="s">
        <v>36</v>
      </c>
      <c r="K32" s="56">
        <v>6</v>
      </c>
      <c r="L32" s="56">
        <v>0.448</v>
      </c>
      <c r="M32" s="56" t="s">
        <v>100</v>
      </c>
      <c r="N32" s="1"/>
      <c r="O32" s="57">
        <f t="array" ref="O2">_xlfn._xlws.FILTER(Таблица4[Наименование],ISNUMBER(SEARCH('Спецификация для запроса ТУ'!C312,Таблица4[Наименование])),"")</f>
      </c>
    </row>
    <row r="33" spans="1:15" x14ac:dyDescent="0.25">
      <c r="A33" s="1" t="s">
        <v>36</v>
      </c>
      <c r="B33" s="56" t="s">
        <v>101</v>
      </c>
      <c r="C33" s="56" t="s">
        <v>75</v>
      </c>
      <c r="D33" s="1" t="s">
        <v>36</v>
      </c>
      <c r="E33" s="1" t="s">
        <v>36</v>
      </c>
      <c r="F33" s="1" t="s">
        <v>36</v>
      </c>
      <c r="G33" s="1" t="s">
        <v>36</v>
      </c>
      <c r="H33" s="56">
        <v>25.5</v>
      </c>
      <c r="I33" s="56" t="s">
        <v>102</v>
      </c>
      <c r="J33" s="1" t="s">
        <v>36</v>
      </c>
      <c r="K33" s="56">
        <v>10</v>
      </c>
      <c r="L33" s="56">
        <v>0.568</v>
      </c>
      <c r="M33" s="56" t="s">
        <v>103</v>
      </c>
      <c r="N33" s="1"/>
      <c r="O33" s="57">
        <f t="array" ref="O2">_xlfn._xlws.FILTER(Таблица4[Наименование],ISNUMBER(SEARCH('Спецификация для запроса ТУ'!C312,Таблица4[Наименование])),"")</f>
      </c>
    </row>
    <row r="34" spans="1:15" x14ac:dyDescent="0.25">
      <c r="A34" s="1" t="s">
        <v>36</v>
      </c>
      <c r="B34" s="56" t="s">
        <v>104</v>
      </c>
      <c r="C34" s="56" t="s">
        <v>75</v>
      </c>
      <c r="D34" s="1" t="s">
        <v>36</v>
      </c>
      <c r="E34" s="1" t="s">
        <v>36</v>
      </c>
      <c r="F34" s="1" t="s">
        <v>36</v>
      </c>
      <c r="G34" s="1" t="s">
        <v>36</v>
      </c>
      <c r="H34" s="56">
        <v>29.3</v>
      </c>
      <c r="I34" s="56" t="s">
        <v>102</v>
      </c>
      <c r="J34" s="1" t="s">
        <v>36</v>
      </c>
      <c r="K34" s="56">
        <v>10</v>
      </c>
      <c r="L34" s="56">
        <v>0.568</v>
      </c>
      <c r="M34" s="56" t="s">
        <v>103</v>
      </c>
      <c r="N34" s="1"/>
      <c r="O34" s="57">
        <f t="array" ref="O2">_xlfn._xlws.FILTER(Таблица4[Наименование],ISNUMBER(SEARCH('Спецификация для запроса ТУ'!C312,Таблица4[Наименование])),"")</f>
      </c>
    </row>
    <row r="35" spans="1:15" x14ac:dyDescent="0.25">
      <c r="A35" s="1" t="s">
        <v>36</v>
      </c>
      <c r="B35" s="56" t="s">
        <v>105</v>
      </c>
      <c r="C35" s="56" t="s">
        <v>75</v>
      </c>
      <c r="D35" s="1" t="s">
        <v>36</v>
      </c>
      <c r="E35" s="1" t="s">
        <v>36</v>
      </c>
      <c r="F35" s="1" t="s">
        <v>36</v>
      </c>
      <c r="G35" s="1" t="s">
        <v>36</v>
      </c>
      <c r="H35" s="56">
        <v>26.5</v>
      </c>
      <c r="I35" s="56" t="s">
        <v>90</v>
      </c>
      <c r="J35" s="1" t="s">
        <v>36</v>
      </c>
      <c r="K35" s="56">
        <v>10</v>
      </c>
      <c r="L35" s="56">
        <v>0.639</v>
      </c>
      <c r="M35" s="56" t="s">
        <v>103</v>
      </c>
      <c r="N35" s="1"/>
      <c r="O35" s="57">
        <f t="array" ref="O2">_xlfn._xlws.FILTER(Таблица4[Наименование],ISNUMBER(SEARCH('Спецификация для запроса ТУ'!C312,Таблица4[Наименование])),"")</f>
      </c>
    </row>
    <row r="36" spans="1:15" x14ac:dyDescent="0.25">
      <c r="A36" s="1" t="s">
        <v>36</v>
      </c>
      <c r="B36" s="56" t="s">
        <v>106</v>
      </c>
      <c r="C36" s="56" t="s">
        <v>75</v>
      </c>
      <c r="D36" s="1" t="s">
        <v>36</v>
      </c>
      <c r="E36" s="1" t="s">
        <v>36</v>
      </c>
      <c r="F36" s="1" t="s">
        <v>36</v>
      </c>
      <c r="G36" s="1" t="s">
        <v>36</v>
      </c>
      <c r="H36" s="56">
        <v>31.2</v>
      </c>
      <c r="I36" s="56" t="s">
        <v>93</v>
      </c>
      <c r="J36" s="1" t="s">
        <v>36</v>
      </c>
      <c r="K36" s="56">
        <v>6</v>
      </c>
      <c r="L36" s="56">
        <v>0.71</v>
      </c>
      <c r="M36" s="56" t="s">
        <v>107</v>
      </c>
      <c r="N36" s="1"/>
      <c r="O36" s="57">
        <f t="array" ref="O2">_xlfn._xlws.FILTER(Таблица4[Наименование],ISNUMBER(SEARCH('Спецификация для запроса ТУ'!C312,Таблица4[Наименование])),"")</f>
      </c>
    </row>
    <row r="37" spans="1:15" x14ac:dyDescent="0.25">
      <c r="A37" s="1" t="s">
        <v>36</v>
      </c>
      <c r="B37" s="56" t="s">
        <v>108</v>
      </c>
      <c r="C37" s="56" t="s">
        <v>75</v>
      </c>
      <c r="D37" s="1" t="s">
        <v>36</v>
      </c>
      <c r="E37" s="1" t="s">
        <v>36</v>
      </c>
      <c r="F37" s="1" t="s">
        <v>36</v>
      </c>
      <c r="G37" s="1" t="s">
        <v>36</v>
      </c>
      <c r="H37" s="56">
        <v>31.1</v>
      </c>
      <c r="I37" s="56" t="s">
        <v>93</v>
      </c>
      <c r="J37" s="1" t="s">
        <v>36</v>
      </c>
      <c r="K37" s="56">
        <v>6</v>
      </c>
      <c r="L37" s="56">
        <v>0.71</v>
      </c>
      <c r="M37" s="56" t="s">
        <v>107</v>
      </c>
      <c r="N37" s="1"/>
      <c r="O37" s="57">
        <f t="array" ref="O2">_xlfn._xlws.FILTER(Таблица4[Наименование],ISNUMBER(SEARCH('Спецификация для запроса ТУ'!C312,Таблица4[Наименование])),"")</f>
      </c>
    </row>
    <row r="38" spans="1:15" x14ac:dyDescent="0.25">
      <c r="A38" s="1" t="s">
        <v>36</v>
      </c>
      <c r="B38" s="56" t="s">
        <v>109</v>
      </c>
      <c r="C38" s="56" t="s">
        <v>75</v>
      </c>
      <c r="D38" s="1" t="s">
        <v>36</v>
      </c>
      <c r="E38" s="1" t="s">
        <v>36</v>
      </c>
      <c r="F38" s="1" t="s">
        <v>36</v>
      </c>
      <c r="G38" s="1" t="s">
        <v>36</v>
      </c>
      <c r="H38" s="56">
        <v>43.7</v>
      </c>
      <c r="I38" s="56" t="s">
        <v>110</v>
      </c>
      <c r="J38" s="1" t="s">
        <v>36</v>
      </c>
      <c r="K38" s="56">
        <v>12</v>
      </c>
      <c r="L38" s="56">
        <v>0.89</v>
      </c>
      <c r="M38" s="56" t="s">
        <v>111</v>
      </c>
      <c r="N38" s="1"/>
      <c r="O38" s="57">
        <f t="array" ref="O2">_xlfn._xlws.FILTER(Таблица4[Наименование],ISNUMBER(SEARCH('Спецификация для запроса ТУ'!C312,Таблица4[Наименование])),"")</f>
      </c>
    </row>
    <row r="39" spans="1:15" x14ac:dyDescent="0.25">
      <c r="A39" s="1" t="s">
        <v>36</v>
      </c>
      <c r="B39" s="56" t="s">
        <v>112</v>
      </c>
      <c r="C39" s="56" t="s">
        <v>75</v>
      </c>
      <c r="D39" s="1" t="s">
        <v>36</v>
      </c>
      <c r="E39" s="1" t="s">
        <v>36</v>
      </c>
      <c r="F39" s="1" t="s">
        <v>36</v>
      </c>
      <c r="G39" s="1" t="s">
        <v>36</v>
      </c>
      <c r="H39" s="56">
        <v>23.1</v>
      </c>
      <c r="I39" s="56" t="s">
        <v>113</v>
      </c>
      <c r="J39" s="1" t="s">
        <v>36</v>
      </c>
      <c r="K39" s="56">
        <v>4</v>
      </c>
      <c r="L39" s="56">
        <v>0.448</v>
      </c>
      <c r="M39" s="56" t="s">
        <v>114</v>
      </c>
      <c r="N39" s="1"/>
      <c r="O39" s="57">
        <f t="array" ref="O2">_xlfn._xlws.FILTER(Таблица4[Наименование],ISNUMBER(SEARCH('Спецификация для запроса ТУ'!C312,Таблица4[Наименование])),"")</f>
      </c>
    </row>
    <row r="40" spans="1:15" x14ac:dyDescent="0.25">
      <c r="A40" s="1" t="s">
        <v>36</v>
      </c>
      <c r="B40" s="56" t="s">
        <v>115</v>
      </c>
      <c r="C40" s="56" t="s">
        <v>75</v>
      </c>
      <c r="D40" s="1" t="s">
        <v>36</v>
      </c>
      <c r="E40" s="1" t="s">
        <v>36</v>
      </c>
      <c r="F40" s="1" t="s">
        <v>36</v>
      </c>
      <c r="G40" s="1" t="s">
        <v>36</v>
      </c>
      <c r="H40" s="56">
        <v>9</v>
      </c>
      <c r="I40" s="56" t="s">
        <v>116</v>
      </c>
      <c r="J40" s="1" t="s">
        <v>36</v>
      </c>
      <c r="K40" s="56">
        <v>4</v>
      </c>
      <c r="L40" s="56">
        <v>0.235</v>
      </c>
      <c r="M40" s="56" t="s">
        <v>117</v>
      </c>
      <c r="N40" s="1"/>
      <c r="O40" s="57">
        <f t="array" ref="O2">_xlfn._xlws.FILTER(Таблица4[Наименование],ISNUMBER(SEARCH('Спецификация для запроса ТУ'!C312,Таблица4[Наименование])),"")</f>
      </c>
    </row>
    <row r="41" spans="1:15" x14ac:dyDescent="0.25">
      <c r="A41" s="1" t="s">
        <v>36</v>
      </c>
      <c r="B41" s="56" t="s">
        <v>118</v>
      </c>
      <c r="C41" s="56" t="s">
        <v>75</v>
      </c>
      <c r="D41" s="1" t="s">
        <v>36</v>
      </c>
      <c r="E41" s="1" t="s">
        <v>36</v>
      </c>
      <c r="F41" s="1" t="s">
        <v>36</v>
      </c>
      <c r="G41" s="1" t="s">
        <v>36</v>
      </c>
      <c r="H41" s="56">
        <v>46.9</v>
      </c>
      <c r="I41" s="56" t="s">
        <v>119</v>
      </c>
      <c r="J41" s="1" t="s">
        <v>36</v>
      </c>
      <c r="K41" s="56">
        <v>21</v>
      </c>
      <c r="L41" s="56">
        <v>0.941</v>
      </c>
      <c r="M41" s="56" t="s">
        <v>120</v>
      </c>
      <c r="N41" s="1"/>
      <c r="O41" s="57">
        <f t="array" ref="O2">_xlfn._xlws.FILTER(Таблица4[Наименование],ISNUMBER(SEARCH('Спецификация для запроса ТУ'!C312,Таблица4[Наименование])),"")</f>
      </c>
    </row>
    <row r="42" spans="1:15" x14ac:dyDescent="0.25">
      <c r="A42" s="1" t="s">
        <v>36</v>
      </c>
      <c r="B42" s="56" t="s">
        <v>121</v>
      </c>
      <c r="C42" s="56" t="s">
        <v>75</v>
      </c>
      <c r="D42" s="1" t="s">
        <v>36</v>
      </c>
      <c r="E42" s="1" t="s">
        <v>36</v>
      </c>
      <c r="F42" s="1" t="s">
        <v>36</v>
      </c>
      <c r="G42" s="1" t="s">
        <v>36</v>
      </c>
      <c r="H42" s="56">
        <v>18.9</v>
      </c>
      <c r="I42" s="56" t="s">
        <v>122</v>
      </c>
      <c r="J42" s="1" t="s">
        <v>36</v>
      </c>
      <c r="K42" s="56">
        <v>4</v>
      </c>
      <c r="L42" s="56">
        <v>0.351</v>
      </c>
      <c r="M42" s="56" t="s">
        <v>117</v>
      </c>
      <c r="N42" s="1"/>
      <c r="O42" s="57">
        <f t="array" ref="O2">_xlfn._xlws.FILTER(Таблица4[Наименование],ISNUMBER(SEARCH('Спецификация для запроса ТУ'!C312,Таблица4[Наименование])),"")</f>
      </c>
    </row>
    <row r="43" spans="1:15" x14ac:dyDescent="0.25">
      <c r="A43" s="1" t="s">
        <v>36</v>
      </c>
      <c r="B43" s="56" t="s">
        <v>123</v>
      </c>
      <c r="C43" s="56" t="s">
        <v>75</v>
      </c>
      <c r="D43" s="1" t="s">
        <v>36</v>
      </c>
      <c r="E43" s="1" t="s">
        <v>36</v>
      </c>
      <c r="F43" s="1" t="s">
        <v>36</v>
      </c>
      <c r="G43" s="1" t="s">
        <v>36</v>
      </c>
      <c r="H43" s="56">
        <v>26.8</v>
      </c>
      <c r="I43" s="56" t="s">
        <v>124</v>
      </c>
      <c r="J43" s="1" t="s">
        <v>36</v>
      </c>
      <c r="K43" s="56">
        <v>6</v>
      </c>
      <c r="L43" s="56">
        <v>0.593</v>
      </c>
      <c r="M43" s="56" t="s">
        <v>125</v>
      </c>
      <c r="N43" s="1"/>
      <c r="O43" s="57">
        <f t="array" ref="O2">_xlfn._xlws.FILTER(Таблица4[Наименование],ISNUMBER(SEARCH('Спецификация для запроса ТУ'!C312,Таблица4[Наименование])),"")</f>
      </c>
    </row>
    <row r="44" spans="1:15" x14ac:dyDescent="0.25">
      <c r="A44" s="1" t="s">
        <v>36</v>
      </c>
      <c r="B44" s="56" t="s">
        <v>126</v>
      </c>
      <c r="C44" s="56" t="s">
        <v>75</v>
      </c>
      <c r="D44" s="1" t="s">
        <v>36</v>
      </c>
      <c r="E44" s="1" t="s">
        <v>36</v>
      </c>
      <c r="F44" s="1" t="s">
        <v>36</v>
      </c>
      <c r="G44" s="1" t="s">
        <v>36</v>
      </c>
      <c r="H44" s="56">
        <v>24.9</v>
      </c>
      <c r="I44" s="56" t="s">
        <v>124</v>
      </c>
      <c r="J44" s="1" t="s">
        <v>36</v>
      </c>
      <c r="K44" s="56">
        <v>6</v>
      </c>
      <c r="L44" s="56">
        <v>0.593</v>
      </c>
      <c r="M44" s="56" t="s">
        <v>125</v>
      </c>
      <c r="N44" s="1"/>
      <c r="O44" s="57">
        <f t="array" ref="O2">_xlfn._xlws.FILTER(Таблица4[Наименование],ISNUMBER(SEARCH('Спецификация для запроса ТУ'!C312,Таблица4[Наименование])),"")</f>
      </c>
    </row>
    <row r="45" spans="1:15" x14ac:dyDescent="0.25">
      <c r="A45" s="1" t="s">
        <v>36</v>
      </c>
      <c r="B45" s="56" t="s">
        <v>127</v>
      </c>
      <c r="C45" s="56" t="s">
        <v>75</v>
      </c>
      <c r="D45" s="1" t="s">
        <v>36</v>
      </c>
      <c r="E45" s="1" t="s">
        <v>36</v>
      </c>
      <c r="F45" s="1" t="s">
        <v>36</v>
      </c>
      <c r="G45" s="1" t="s">
        <v>36</v>
      </c>
      <c r="H45" s="56">
        <v>23.9</v>
      </c>
      <c r="I45" s="56" t="s">
        <v>128</v>
      </c>
      <c r="J45" s="1" t="s">
        <v>36</v>
      </c>
      <c r="K45" s="56">
        <v>6</v>
      </c>
      <c r="L45" s="56">
        <v>0.517</v>
      </c>
      <c r="M45" s="56" t="s">
        <v>129</v>
      </c>
      <c r="N45" s="1"/>
      <c r="O45" s="57">
        <f t="array" ref="O2">_xlfn._xlws.FILTER(Таблица4[Наименование],ISNUMBER(SEARCH('Спецификация для запроса ТУ'!C312,Таблица4[Наименование])),"")</f>
      </c>
    </row>
    <row r="46" spans="1:15" x14ac:dyDescent="0.25">
      <c r="A46" s="1" t="s">
        <v>36</v>
      </c>
      <c r="B46" s="56" t="s">
        <v>130</v>
      </c>
      <c r="C46" s="56" t="s">
        <v>75</v>
      </c>
      <c r="D46" s="1" t="s">
        <v>36</v>
      </c>
      <c r="E46" s="1" t="s">
        <v>36</v>
      </c>
      <c r="F46" s="1" t="s">
        <v>36</v>
      </c>
      <c r="G46" s="1" t="s">
        <v>36</v>
      </c>
      <c r="H46" s="56">
        <v>32.3</v>
      </c>
      <c r="I46" s="56" t="s">
        <v>131</v>
      </c>
      <c r="J46" s="1" t="s">
        <v>36</v>
      </c>
      <c r="K46" s="56">
        <v>8</v>
      </c>
      <c r="L46" s="56">
        <v>0.836</v>
      </c>
      <c r="M46" s="56" t="s">
        <v>132</v>
      </c>
      <c r="N46" s="1"/>
      <c r="O46" s="57">
        <f t="array" ref="O2">_xlfn._xlws.FILTER(Таблица4[Наименование],ISNUMBER(SEARCH('Спецификация для запроса ТУ'!C312,Таблица4[Наименование])),"")</f>
      </c>
    </row>
    <row r="47" spans="1:15" x14ac:dyDescent="0.25">
      <c r="A47" s="1" t="s">
        <v>36</v>
      </c>
      <c r="B47" s="56" t="s">
        <v>133</v>
      </c>
      <c r="C47" s="56" t="s">
        <v>75</v>
      </c>
      <c r="D47" s="1" t="s">
        <v>36</v>
      </c>
      <c r="E47" s="1" t="s">
        <v>36</v>
      </c>
      <c r="F47" s="1" t="s">
        <v>36</v>
      </c>
      <c r="G47" s="1" t="s">
        <v>36</v>
      </c>
      <c r="H47" s="56">
        <v>23.9</v>
      </c>
      <c r="I47" s="56" t="s">
        <v>134</v>
      </c>
      <c r="J47" s="1" t="s">
        <v>36</v>
      </c>
      <c r="K47" s="56">
        <v>8</v>
      </c>
      <c r="L47" s="56">
        <v>0.447</v>
      </c>
      <c r="M47" s="56" t="s">
        <v>135</v>
      </c>
      <c r="N47" s="1"/>
      <c r="O47" s="57">
        <f t="array" ref="O2">_xlfn._xlws.FILTER(Таблица4[Наименование],ISNUMBER(SEARCH('Спецификация для запроса ТУ'!C312,Таблица4[Наименование])),"")</f>
      </c>
    </row>
    <row r="48" spans="1:15" x14ac:dyDescent="0.25">
      <c r="A48" s="1" t="s">
        <v>36</v>
      </c>
      <c r="B48" s="56" t="s">
        <v>136</v>
      </c>
      <c r="C48" s="56" t="s">
        <v>75</v>
      </c>
      <c r="D48" s="1" t="s">
        <v>36</v>
      </c>
      <c r="E48" s="1" t="s">
        <v>36</v>
      </c>
      <c r="F48" s="1" t="s">
        <v>36</v>
      </c>
      <c r="G48" s="1" t="s">
        <v>36</v>
      </c>
      <c r="H48" s="56">
        <v>10</v>
      </c>
      <c r="I48" s="56" t="s">
        <v>137</v>
      </c>
      <c r="J48" s="1" t="s">
        <v>36</v>
      </c>
      <c r="K48" s="56">
        <v>6</v>
      </c>
      <c r="L48" s="56">
        <v>0.268</v>
      </c>
      <c r="M48" s="56" t="s">
        <v>125</v>
      </c>
      <c r="N48" s="1"/>
      <c r="O48" s="57">
        <f t="array" ref="O2">_xlfn._xlws.FILTER(Таблица4[Наименование],ISNUMBER(SEARCH('Спецификация для запроса ТУ'!C312,Таблица4[Наименование])),"")</f>
      </c>
    </row>
    <row r="49" spans="1:15" x14ac:dyDescent="0.25">
      <c r="A49" s="1" t="s">
        <v>36</v>
      </c>
      <c r="B49" s="56" t="s">
        <v>138</v>
      </c>
      <c r="C49" s="56" t="s">
        <v>75</v>
      </c>
      <c r="D49" s="1" t="s">
        <v>36</v>
      </c>
      <c r="E49" s="1" t="s">
        <v>36</v>
      </c>
      <c r="F49" s="1" t="s">
        <v>36</v>
      </c>
      <c r="G49" s="1" t="s">
        <v>36</v>
      </c>
      <c r="H49" s="56">
        <v>40.2</v>
      </c>
      <c r="I49" s="56" t="s">
        <v>139</v>
      </c>
      <c r="J49" s="1" t="s">
        <v>36</v>
      </c>
      <c r="K49" s="56">
        <v>14</v>
      </c>
      <c r="L49" s="56">
        <v>0.797</v>
      </c>
      <c r="M49" s="56" t="s">
        <v>140</v>
      </c>
      <c r="N49" s="1"/>
      <c r="O49" s="57">
        <f t="array" ref="O2">_xlfn._xlws.FILTER(Таблица4[Наименование],ISNUMBER(SEARCH('Спецификация для запроса ТУ'!C312,Таблица4[Наименование])),"")</f>
      </c>
    </row>
    <row r="50" spans="1:15" x14ac:dyDescent="0.25">
      <c r="A50" s="1" t="s">
        <v>36</v>
      </c>
      <c r="B50" s="56" t="s">
        <v>141</v>
      </c>
      <c r="C50" s="56" t="s">
        <v>75</v>
      </c>
      <c r="D50" s="1" t="s">
        <v>36</v>
      </c>
      <c r="E50" s="1" t="s">
        <v>36</v>
      </c>
      <c r="F50" s="1" t="s">
        <v>36</v>
      </c>
      <c r="G50" s="1" t="s">
        <v>36</v>
      </c>
      <c r="H50" s="56">
        <v>8.1</v>
      </c>
      <c r="I50" s="56" t="s">
        <v>142</v>
      </c>
      <c r="J50" s="1" t="s">
        <v>36</v>
      </c>
      <c r="K50" s="56">
        <v>2</v>
      </c>
      <c r="L50" s="56">
        <v>0.13</v>
      </c>
      <c r="M50" s="56" t="s">
        <v>143</v>
      </c>
      <c r="N50" s="1"/>
      <c r="O50" s="57">
        <f t="array" ref="O2">_xlfn._xlws.FILTER(Таблица4[Наименование],ISNUMBER(SEARCH('Спецификация для запроса ТУ'!C312,Таблица4[Наименование])),"")</f>
      </c>
    </row>
    <row r="51" spans="1:15" x14ac:dyDescent="0.25">
      <c r="A51" s="1" t="s">
        <v>36</v>
      </c>
      <c r="B51" s="56" t="s">
        <v>144</v>
      </c>
      <c r="C51" s="56" t="s">
        <v>75</v>
      </c>
      <c r="D51" s="1" t="s">
        <v>36</v>
      </c>
      <c r="E51" s="1" t="s">
        <v>36</v>
      </c>
      <c r="F51" s="1" t="s">
        <v>36</v>
      </c>
      <c r="G51" s="1" t="s">
        <v>36</v>
      </c>
      <c r="H51" s="56">
        <v>17.8</v>
      </c>
      <c r="I51" s="56" t="s">
        <v>145</v>
      </c>
      <c r="J51" s="1" t="s">
        <v>36</v>
      </c>
      <c r="K51" s="56">
        <v>2</v>
      </c>
      <c r="L51" s="56">
        <v>0.408</v>
      </c>
      <c r="M51" s="56" t="s">
        <v>146</v>
      </c>
      <c r="N51" s="1"/>
      <c r="O51" s="57">
        <f t="array" ref="O2">_xlfn._xlws.FILTER(Таблица4[Наименование],ISNUMBER(SEARCH('Спецификация для запроса ТУ'!C312,Таблица4[Наименование])),"")</f>
      </c>
    </row>
    <row r="52" spans="1:15" x14ac:dyDescent="0.25">
      <c r="A52" s="1" t="s">
        <v>36</v>
      </c>
      <c r="B52" s="56" t="s">
        <v>147</v>
      </c>
      <c r="C52" s="56" t="s">
        <v>75</v>
      </c>
      <c r="D52" s="1" t="s">
        <v>36</v>
      </c>
      <c r="E52" s="1" t="s">
        <v>36</v>
      </c>
      <c r="F52" s="1" t="s">
        <v>36</v>
      </c>
      <c r="G52" s="1" t="s">
        <v>36</v>
      </c>
      <c r="H52" s="56">
        <v>29</v>
      </c>
      <c r="I52" s="56" t="s">
        <v>148</v>
      </c>
      <c r="J52" s="1" t="s">
        <v>36</v>
      </c>
      <c r="K52" s="56" t="s">
        <v>40</v>
      </c>
      <c r="L52" s="56">
        <v>0.288</v>
      </c>
      <c r="M52" s="56" t="s">
        <v>149</v>
      </c>
      <c r="N52" s="1"/>
      <c r="O52" s="57">
        <f t="array" ref="O2">_xlfn._xlws.FILTER(Таблица4[Наименование],ISNUMBER(SEARCH('Спецификация для запроса ТУ'!C312,Таблица4[Наименование])),"")</f>
      </c>
    </row>
    <row r="53" spans="1:15" x14ac:dyDescent="0.25">
      <c r="A53" s="1" t="s">
        <v>36</v>
      </c>
      <c r="B53" s="56" t="s">
        <v>150</v>
      </c>
      <c r="C53" s="56" t="s">
        <v>75</v>
      </c>
      <c r="D53" s="1" t="s">
        <v>36</v>
      </c>
      <c r="E53" s="1" t="s">
        <v>36</v>
      </c>
      <c r="F53" s="1" t="s">
        <v>36</v>
      </c>
      <c r="G53" s="1" t="s">
        <v>36</v>
      </c>
      <c r="H53" s="56">
        <v>12.5</v>
      </c>
      <c r="I53" s="56" t="s">
        <v>151</v>
      </c>
      <c r="J53" s="1" t="s">
        <v>36</v>
      </c>
      <c r="K53" s="56">
        <v>4</v>
      </c>
      <c r="L53" s="56">
        <v>0.251</v>
      </c>
      <c r="M53" s="56" t="s">
        <v>117</v>
      </c>
      <c r="N53" s="1"/>
      <c r="O53" s="57">
        <f t="array" ref="O2">_xlfn._xlws.FILTER(Таблица4[Наименование],ISNUMBER(SEARCH('Спецификация для запроса ТУ'!C312,Таблица4[Наименование])),"")</f>
      </c>
    </row>
    <row r="54" spans="1:15" x14ac:dyDescent="0.25">
      <c r="A54" s="1" t="s">
        <v>36</v>
      </c>
      <c r="B54" s="56" t="s">
        <v>152</v>
      </c>
      <c r="C54" s="56" t="s">
        <v>75</v>
      </c>
      <c r="D54" s="1" t="s">
        <v>36</v>
      </c>
      <c r="E54" s="1" t="s">
        <v>36</v>
      </c>
      <c r="F54" s="1" t="s">
        <v>36</v>
      </c>
      <c r="G54" s="1" t="s">
        <v>36</v>
      </c>
      <c r="H54" s="56">
        <v>21.2</v>
      </c>
      <c r="I54" s="56" t="s">
        <v>153</v>
      </c>
      <c r="J54" s="1" t="s">
        <v>36</v>
      </c>
      <c r="K54" s="56">
        <v>4</v>
      </c>
      <c r="L54" s="56">
        <v>0.446</v>
      </c>
      <c r="M54" s="56" t="s">
        <v>154</v>
      </c>
      <c r="N54" s="1"/>
      <c r="O54" s="57">
        <f t="array" ref="O2">_xlfn._xlws.FILTER(Таблица4[Наименование],ISNUMBER(SEARCH('Спецификация для запроса ТУ'!C312,Таблица4[Наименование])),"")</f>
      </c>
    </row>
    <row r="55" spans="1:15" x14ac:dyDescent="0.25">
      <c r="A55" s="1" t="s">
        <v>36</v>
      </c>
      <c r="B55" s="56" t="s">
        <v>155</v>
      </c>
      <c r="C55" s="56" t="s">
        <v>75</v>
      </c>
      <c r="D55" s="1" t="s">
        <v>36</v>
      </c>
      <c r="E55" s="1" t="s">
        <v>36</v>
      </c>
      <c r="F55" s="1" t="s">
        <v>36</v>
      </c>
      <c r="G55" s="1" t="s">
        <v>36</v>
      </c>
      <c r="H55" s="56">
        <v>16</v>
      </c>
      <c r="I55" s="56" t="s">
        <v>156</v>
      </c>
      <c r="J55" s="1" t="s">
        <v>36</v>
      </c>
      <c r="K55" s="56">
        <v>4</v>
      </c>
      <c r="L55" s="56">
        <v>0.367</v>
      </c>
      <c r="M55" s="56" t="s">
        <v>117</v>
      </c>
      <c r="N55" s="1"/>
      <c r="O55" s="57">
        <f t="array" ref="O2">_xlfn._xlws.FILTER(Таблица4[Наименование],ISNUMBER(SEARCH('Спецификация для запроса ТУ'!C312,Таблица4[Наименование])),"")</f>
      </c>
    </row>
    <row r="56" spans="1:15" x14ac:dyDescent="0.25">
      <c r="A56" s="1" t="s">
        <v>36</v>
      </c>
      <c r="B56" s="56" t="s">
        <v>157</v>
      </c>
      <c r="C56" s="56" t="s">
        <v>75</v>
      </c>
      <c r="D56" s="1" t="s">
        <v>36</v>
      </c>
      <c r="E56" s="1" t="s">
        <v>36</v>
      </c>
      <c r="F56" s="1" t="s">
        <v>36</v>
      </c>
      <c r="G56" s="1" t="s">
        <v>36</v>
      </c>
      <c r="H56" s="56">
        <v>18.1</v>
      </c>
      <c r="I56" s="56" t="s">
        <v>156</v>
      </c>
      <c r="J56" s="1" t="s">
        <v>36</v>
      </c>
      <c r="K56" s="56">
        <v>4</v>
      </c>
      <c r="L56" s="56">
        <v>0.367</v>
      </c>
      <c r="M56" s="56" t="s">
        <v>117</v>
      </c>
      <c r="N56" s="1"/>
      <c r="O56" s="57">
        <f t="array" ref="O2">_xlfn._xlws.FILTER(Таблица4[Наименование],ISNUMBER(SEARCH('Спецификация для запроса ТУ'!C312,Таблица4[Наименование])),"")</f>
      </c>
    </row>
    <row r="57" spans="1:15" x14ac:dyDescent="0.25">
      <c r="A57" s="1" t="s">
        <v>36</v>
      </c>
      <c r="B57" s="56" t="s">
        <v>158</v>
      </c>
      <c r="C57" s="56" t="s">
        <v>75</v>
      </c>
      <c r="D57" s="1" t="s">
        <v>36</v>
      </c>
      <c r="E57" s="1" t="s">
        <v>36</v>
      </c>
      <c r="F57" s="1" t="s">
        <v>36</v>
      </c>
      <c r="G57" s="1" t="s">
        <v>36</v>
      </c>
      <c r="H57" s="56">
        <v>44.6</v>
      </c>
      <c r="I57" s="56" t="s">
        <v>159</v>
      </c>
      <c r="J57" s="1" t="s">
        <v>36</v>
      </c>
      <c r="K57" s="56">
        <v>16</v>
      </c>
      <c r="L57" s="56">
        <v>0.703</v>
      </c>
      <c r="M57" s="56" t="s">
        <v>160</v>
      </c>
      <c r="N57" s="1"/>
      <c r="O57" s="57">
        <f t="array" ref="O2">_xlfn._xlws.FILTER(Таблица4[Наименование],ISNUMBER(SEARCH('Спецификация для запроса ТУ'!C312,Таблица4[Наименование])),"")</f>
      </c>
    </row>
    <row r="58" spans="1:15" x14ac:dyDescent="0.25">
      <c r="A58" s="1" t="s">
        <v>36</v>
      </c>
      <c r="B58" s="56" t="s">
        <v>161</v>
      </c>
      <c r="C58" s="56" t="s">
        <v>75</v>
      </c>
      <c r="D58" s="1" t="s">
        <v>36</v>
      </c>
      <c r="E58" s="1" t="s">
        <v>36</v>
      </c>
      <c r="F58" s="1" t="s">
        <v>36</v>
      </c>
      <c r="G58" s="1" t="s">
        <v>36</v>
      </c>
      <c r="H58" s="56">
        <v>52.4</v>
      </c>
      <c r="I58" s="56" t="s">
        <v>162</v>
      </c>
      <c r="J58" s="1" t="s">
        <v>36</v>
      </c>
      <c r="K58" s="56">
        <v>16</v>
      </c>
      <c r="L58" s="56">
        <v>0.942</v>
      </c>
      <c r="M58" s="56" t="s">
        <v>163</v>
      </c>
      <c r="N58" s="1"/>
      <c r="O58" s="57">
        <f t="array" ref="O2">_xlfn._xlws.FILTER(Таблица4[Наименование],ISNUMBER(SEARCH('Спецификация для запроса ТУ'!C312,Таблица4[Наименование])),"")</f>
      </c>
    </row>
    <row r="59" spans="1:15" x14ac:dyDescent="0.25">
      <c r="A59" s="1" t="s">
        <v>36</v>
      </c>
      <c r="B59" s="56" t="s">
        <v>164</v>
      </c>
      <c r="C59" s="56" t="s">
        <v>75</v>
      </c>
      <c r="D59" s="1" t="s">
        <v>36</v>
      </c>
      <c r="E59" s="1" t="s">
        <v>36</v>
      </c>
      <c r="F59" s="1" t="s">
        <v>36</v>
      </c>
      <c r="G59" s="1" t="s">
        <v>36</v>
      </c>
      <c r="H59" s="56">
        <v>37.7</v>
      </c>
      <c r="I59" s="56" t="s">
        <v>165</v>
      </c>
      <c r="J59" s="1" t="s">
        <v>36</v>
      </c>
      <c r="K59" s="56">
        <v>10</v>
      </c>
      <c r="L59" s="56">
        <v>0.882</v>
      </c>
      <c r="M59" s="56" t="s">
        <v>103</v>
      </c>
      <c r="N59" s="1"/>
      <c r="O59" s="57">
        <f t="array" ref="O2">_xlfn._xlws.FILTER(Таблица4[Наименование],ISNUMBER(SEARCH('Спецификация для запроса ТУ'!C312,Таблица4[Наименование])),"")</f>
      </c>
    </row>
    <row r="60" spans="1:15" x14ac:dyDescent="0.25">
      <c r="A60" s="1" t="s">
        <v>36</v>
      </c>
      <c r="B60" s="56" t="s">
        <v>166</v>
      </c>
      <c r="C60" s="56" t="s">
        <v>75</v>
      </c>
      <c r="D60" s="1" t="s">
        <v>36</v>
      </c>
      <c r="E60" s="1" t="s">
        <v>36</v>
      </c>
      <c r="F60" s="1" t="s">
        <v>36</v>
      </c>
      <c r="G60" s="1" t="s">
        <v>36</v>
      </c>
      <c r="H60" s="56">
        <v>26.5</v>
      </c>
      <c r="I60" s="56" t="s">
        <v>167</v>
      </c>
      <c r="J60" s="1" t="s">
        <v>36</v>
      </c>
      <c r="K60" s="56">
        <v>10</v>
      </c>
      <c r="L60" s="56">
        <v>0.698</v>
      </c>
      <c r="M60" s="56" t="s">
        <v>168</v>
      </c>
      <c r="N60" s="1"/>
      <c r="O60" s="57">
        <f t="array" ref="O2">_xlfn._xlws.FILTER(Таблица4[Наименование],ISNUMBER(SEARCH('Спецификация для запроса ТУ'!C312,Таблица4[Наименование])),"")</f>
      </c>
    </row>
    <row r="61" spans="1:15" x14ac:dyDescent="0.25">
      <c r="A61" s="1" t="s">
        <v>36</v>
      </c>
      <c r="B61" s="56" t="s">
        <v>169</v>
      </c>
      <c r="C61" s="56" t="s">
        <v>75</v>
      </c>
      <c r="D61" s="1" t="s">
        <v>36</v>
      </c>
      <c r="E61" s="1" t="s">
        <v>36</v>
      </c>
      <c r="F61" s="1" t="s">
        <v>36</v>
      </c>
      <c r="G61" s="1" t="s">
        <v>36</v>
      </c>
      <c r="H61" s="56">
        <v>32.6</v>
      </c>
      <c r="I61" s="56" t="s">
        <v>170</v>
      </c>
      <c r="J61" s="1" t="s">
        <v>36</v>
      </c>
      <c r="K61" s="56">
        <v>10</v>
      </c>
      <c r="L61" s="56">
        <v>0.553</v>
      </c>
      <c r="M61" s="56" t="s">
        <v>171</v>
      </c>
      <c r="N61" s="1"/>
      <c r="O61" s="57">
        <f t="array" ref="O2">_xlfn._xlws.FILTER(Таблица4[Наименование],ISNUMBER(SEARCH('Спецификация для запроса ТУ'!C312,Таблица4[Наименование])),"")</f>
      </c>
    </row>
    <row r="62" spans="1:15" x14ac:dyDescent="0.25">
      <c r="A62" s="1" t="s">
        <v>36</v>
      </c>
      <c r="B62" s="56" t="s">
        <v>172</v>
      </c>
      <c r="C62" s="56" t="s">
        <v>75</v>
      </c>
      <c r="D62" s="1" t="s">
        <v>36</v>
      </c>
      <c r="E62" s="1" t="s">
        <v>36</v>
      </c>
      <c r="F62" s="1" t="s">
        <v>36</v>
      </c>
      <c r="G62" s="1" t="s">
        <v>36</v>
      </c>
      <c r="H62" s="56">
        <v>32.5</v>
      </c>
      <c r="I62" s="56" t="s">
        <v>173</v>
      </c>
      <c r="J62" s="1" t="s">
        <v>36</v>
      </c>
      <c r="K62" s="56">
        <v>10</v>
      </c>
      <c r="L62" s="56">
        <v>0.738</v>
      </c>
      <c r="M62" s="56" t="s">
        <v>174</v>
      </c>
      <c r="N62" s="1"/>
      <c r="O62" s="57">
        <f t="array" ref="O2">_xlfn._xlws.FILTER(Таблица4[Наименование],ISNUMBER(SEARCH('Спецификация для запроса ТУ'!C312,Таблица4[Наименование])),"")</f>
      </c>
    </row>
    <row r="63" spans="1:15" x14ac:dyDescent="0.25">
      <c r="A63" s="1" t="s">
        <v>36</v>
      </c>
      <c r="B63" s="56" t="s">
        <v>175</v>
      </c>
      <c r="C63" s="56" t="s">
        <v>75</v>
      </c>
      <c r="D63" s="1" t="s">
        <v>36</v>
      </c>
      <c r="E63" s="1" t="s">
        <v>36</v>
      </c>
      <c r="F63" s="1" t="s">
        <v>36</v>
      </c>
      <c r="G63" s="1" t="s">
        <v>36</v>
      </c>
      <c r="H63" s="56">
        <v>45.4</v>
      </c>
      <c r="I63" s="56" t="s">
        <v>167</v>
      </c>
      <c r="J63" s="1" t="s">
        <v>36</v>
      </c>
      <c r="K63" s="56">
        <v>8</v>
      </c>
      <c r="L63" s="56">
        <v>0.698</v>
      </c>
      <c r="M63" s="56" t="s">
        <v>176</v>
      </c>
      <c r="N63" s="1"/>
      <c r="O63" s="57">
        <f t="array" ref="O2">_xlfn._xlws.FILTER(Таблица4[Наименование],ISNUMBER(SEARCH('Спецификация для запроса ТУ'!C312,Таблица4[Наименование])),"")</f>
      </c>
    </row>
    <row r="64" spans="1:15" x14ac:dyDescent="0.25">
      <c r="A64" s="1" t="s">
        <v>36</v>
      </c>
      <c r="B64" s="56" t="s">
        <v>177</v>
      </c>
      <c r="C64" s="56" t="s">
        <v>75</v>
      </c>
      <c r="D64" s="1" t="s">
        <v>36</v>
      </c>
      <c r="E64" s="1" t="s">
        <v>36</v>
      </c>
      <c r="F64" s="1" t="s">
        <v>36</v>
      </c>
      <c r="G64" s="1" t="s">
        <v>36</v>
      </c>
      <c r="H64" s="56">
        <v>35.7</v>
      </c>
      <c r="I64" s="56" t="s">
        <v>173</v>
      </c>
      <c r="J64" s="1" t="s">
        <v>36</v>
      </c>
      <c r="K64" s="56">
        <v>8</v>
      </c>
      <c r="L64" s="56">
        <v>0.738</v>
      </c>
      <c r="M64" s="56" t="s">
        <v>178</v>
      </c>
      <c r="N64" s="1"/>
      <c r="O64" s="57">
        <f t="array" ref="O2">_xlfn._xlws.FILTER(Таблица4[Наименование],ISNUMBER(SEARCH('Спецификация для запроса ТУ'!C312,Таблица4[Наименование])),"")</f>
      </c>
    </row>
    <row r="65" spans="1:15" x14ac:dyDescent="0.25">
      <c r="A65" s="1" t="s">
        <v>36</v>
      </c>
      <c r="B65" s="56" t="s">
        <v>179</v>
      </c>
      <c r="C65" s="56" t="s">
        <v>75</v>
      </c>
      <c r="D65" s="1" t="s">
        <v>36</v>
      </c>
      <c r="E65" s="1" t="s">
        <v>36</v>
      </c>
      <c r="F65" s="1" t="s">
        <v>36</v>
      </c>
      <c r="G65" s="1" t="s">
        <v>36</v>
      </c>
      <c r="H65" s="56">
        <v>33.3</v>
      </c>
      <c r="I65" s="56" t="s">
        <v>173</v>
      </c>
      <c r="J65" s="1" t="s">
        <v>36</v>
      </c>
      <c r="K65" s="56">
        <v>8</v>
      </c>
      <c r="L65" s="56">
        <v>0.738</v>
      </c>
      <c r="M65" s="56" t="s">
        <v>178</v>
      </c>
      <c r="N65" s="1"/>
      <c r="O65" s="57">
        <f t="array" ref="O2">_xlfn._xlws.FILTER(Таблица4[Наименование],ISNUMBER(SEARCH('Спецификация для запроса ТУ'!C312,Таблица4[Наименование])),"")</f>
      </c>
    </row>
    <row r="66" spans="1:15" x14ac:dyDescent="0.25">
      <c r="A66" s="1" t="s">
        <v>36</v>
      </c>
      <c r="B66" s="56" t="s">
        <v>180</v>
      </c>
      <c r="C66" s="56" t="s">
        <v>75</v>
      </c>
      <c r="D66" s="1" t="s">
        <v>36</v>
      </c>
      <c r="E66" s="1" t="s">
        <v>36</v>
      </c>
      <c r="F66" s="1" t="s">
        <v>36</v>
      </c>
      <c r="G66" s="1" t="s">
        <v>36</v>
      </c>
      <c r="H66" s="56">
        <v>32.3</v>
      </c>
      <c r="I66" s="56" t="s">
        <v>181</v>
      </c>
      <c r="J66" s="1" t="s">
        <v>36</v>
      </c>
      <c r="K66" s="56">
        <v>8</v>
      </c>
      <c r="L66" s="56">
        <v>0.643</v>
      </c>
      <c r="M66" s="56" t="s">
        <v>97</v>
      </c>
      <c r="N66" s="1"/>
      <c r="O66" s="57">
        <f t="array" ref="O2">_xlfn._xlws.FILTER(Таблица4[Наименование],ISNUMBER(SEARCH('Спецификация для запроса ТУ'!C312,Таблица4[Наименование])),"")</f>
      </c>
    </row>
    <row r="67" spans="1:15" x14ac:dyDescent="0.25">
      <c r="A67" s="1" t="s">
        <v>36</v>
      </c>
      <c r="B67" s="56" t="s">
        <v>182</v>
      </c>
      <c r="C67" s="56" t="s">
        <v>75</v>
      </c>
      <c r="D67" s="1" t="s">
        <v>36</v>
      </c>
      <c r="E67" s="1" t="s">
        <v>36</v>
      </c>
      <c r="F67" s="1" t="s">
        <v>36</v>
      </c>
      <c r="G67" s="1" t="s">
        <v>36</v>
      </c>
      <c r="H67" s="56">
        <v>23.5</v>
      </c>
      <c r="I67" s="56" t="s">
        <v>183</v>
      </c>
      <c r="J67" s="1" t="s">
        <v>36</v>
      </c>
      <c r="K67" s="56">
        <v>8</v>
      </c>
      <c r="L67" s="56">
        <v>0.446</v>
      </c>
      <c r="M67" s="56" t="s">
        <v>77</v>
      </c>
      <c r="N67" s="1"/>
      <c r="O67" s="57">
        <f t="array" ref="O2">_xlfn._xlws.FILTER(Таблица4[Наименование],ISNUMBER(SEARCH('Спецификация для запроса ТУ'!C312,Таблица4[Наименование])),"")</f>
      </c>
    </row>
    <row r="68" spans="1:15" x14ac:dyDescent="0.25">
      <c r="A68" s="1" t="s">
        <v>36</v>
      </c>
      <c r="B68" s="56" t="s">
        <v>184</v>
      </c>
      <c r="C68" s="56" t="s">
        <v>75</v>
      </c>
      <c r="D68" s="1" t="s">
        <v>36</v>
      </c>
      <c r="E68" s="1" t="s">
        <v>36</v>
      </c>
      <c r="F68" s="1" t="s">
        <v>36</v>
      </c>
      <c r="G68" s="1" t="s">
        <v>36</v>
      </c>
      <c r="H68" s="56">
        <v>31.3</v>
      </c>
      <c r="I68" s="56" t="s">
        <v>181</v>
      </c>
      <c r="J68" s="1" t="s">
        <v>36</v>
      </c>
      <c r="K68" s="56">
        <v>12</v>
      </c>
      <c r="L68" s="56">
        <v>0.643</v>
      </c>
      <c r="M68" s="56" t="s">
        <v>185</v>
      </c>
      <c r="N68" s="1"/>
      <c r="O68" s="57">
        <f t="array" ref="O2">_xlfn._xlws.FILTER(Таблица4[Наименование],ISNUMBER(SEARCH('Спецификация для запроса ТУ'!C312,Таблица4[Наименование])),"")</f>
      </c>
    </row>
    <row r="69" spans="1:15" x14ac:dyDescent="0.25">
      <c r="A69" s="1" t="s">
        <v>36</v>
      </c>
      <c r="B69" s="56" t="s">
        <v>186</v>
      </c>
      <c r="C69" s="56" t="s">
        <v>75</v>
      </c>
      <c r="D69" s="1" t="s">
        <v>36</v>
      </c>
      <c r="E69" s="1" t="s">
        <v>36</v>
      </c>
      <c r="F69" s="1" t="s">
        <v>36</v>
      </c>
      <c r="G69" s="1" t="s">
        <v>36</v>
      </c>
      <c r="H69" s="56">
        <v>44.5</v>
      </c>
      <c r="I69" s="56" t="s">
        <v>187</v>
      </c>
      <c r="J69" s="1" t="s">
        <v>36</v>
      </c>
      <c r="K69" s="56">
        <v>12</v>
      </c>
      <c r="L69" s="56">
        <v>0.811</v>
      </c>
      <c r="M69" s="56" t="s">
        <v>188</v>
      </c>
      <c r="N69" s="1"/>
      <c r="O69" s="57">
        <f t="array" ref="O2">_xlfn._xlws.FILTER(Таблица4[Наименование],ISNUMBER(SEARCH('Спецификация для запроса ТУ'!C312,Таблица4[Наименование])),"")</f>
      </c>
    </row>
    <row r="70" spans="1:15" x14ac:dyDescent="0.25">
      <c r="A70" s="1" t="s">
        <v>36</v>
      </c>
      <c r="B70" s="56" t="s">
        <v>189</v>
      </c>
      <c r="C70" s="56" t="s">
        <v>75</v>
      </c>
      <c r="D70" s="1" t="s">
        <v>36</v>
      </c>
      <c r="E70" s="1" t="s">
        <v>36</v>
      </c>
      <c r="F70" s="1" t="s">
        <v>36</v>
      </c>
      <c r="G70" s="1" t="s">
        <v>36</v>
      </c>
      <c r="H70" s="56">
        <v>36</v>
      </c>
      <c r="I70" s="56" t="s">
        <v>190</v>
      </c>
      <c r="J70" s="1" t="s">
        <v>36</v>
      </c>
      <c r="K70" s="56">
        <v>12</v>
      </c>
      <c r="L70" s="56">
        <v>0.733</v>
      </c>
      <c r="M70" s="56" t="s">
        <v>191</v>
      </c>
      <c r="N70" s="1"/>
      <c r="O70" s="57">
        <f t="array" ref="O2">_xlfn._xlws.FILTER(Таблица4[Наименование],ISNUMBER(SEARCH('Спецификация для запроса ТУ'!C312,Таблица4[Наименование])),"")</f>
      </c>
    </row>
    <row r="71" spans="1:15" x14ac:dyDescent="0.25">
      <c r="A71" s="1" t="s">
        <v>36</v>
      </c>
      <c r="B71" s="56" t="s">
        <v>192</v>
      </c>
      <c r="C71" s="56" t="s">
        <v>75</v>
      </c>
      <c r="D71" s="1" t="s">
        <v>36</v>
      </c>
      <c r="E71" s="1" t="s">
        <v>36</v>
      </c>
      <c r="F71" s="1" t="s">
        <v>36</v>
      </c>
      <c r="G71" s="1" t="s">
        <v>36</v>
      </c>
      <c r="H71" s="56">
        <v>39.5</v>
      </c>
      <c r="I71" s="56" t="s">
        <v>193</v>
      </c>
      <c r="J71" s="1" t="s">
        <v>36</v>
      </c>
      <c r="K71" s="56">
        <v>12</v>
      </c>
      <c r="L71" s="56">
        <v>0.829</v>
      </c>
      <c r="M71" s="56" t="s">
        <v>194</v>
      </c>
      <c r="N71" s="1"/>
      <c r="O71" s="57">
        <f t="array" ref="O2">_xlfn._xlws.FILTER(Таблица4[Наименование],ISNUMBER(SEARCH('Спецификация для запроса ТУ'!C312,Таблица4[Наименование])),"")</f>
      </c>
    </row>
    <row r="72" spans="1:15" x14ac:dyDescent="0.25">
      <c r="A72" s="1" t="s">
        <v>36</v>
      </c>
      <c r="B72" s="56" t="s">
        <v>195</v>
      </c>
      <c r="C72" s="56" t="s">
        <v>75</v>
      </c>
      <c r="D72" s="1" t="s">
        <v>36</v>
      </c>
      <c r="E72" s="1" t="s">
        <v>36</v>
      </c>
      <c r="F72" s="1" t="s">
        <v>36</v>
      </c>
      <c r="G72" s="1" t="s">
        <v>36</v>
      </c>
      <c r="H72" s="56">
        <v>25.8</v>
      </c>
      <c r="I72" s="56" t="s">
        <v>196</v>
      </c>
      <c r="J72" s="1" t="s">
        <v>36</v>
      </c>
      <c r="K72" s="56">
        <v>6</v>
      </c>
      <c r="L72" s="56">
        <v>0.543</v>
      </c>
      <c r="M72" s="56" t="s">
        <v>197</v>
      </c>
      <c r="N72" s="1"/>
      <c r="O72" s="57">
        <f t="array" ref="O2">_xlfn._xlws.FILTER(Таблица4[Наименование],ISNUMBER(SEARCH('Спецификация для запроса ТУ'!C312,Таблица4[Наименование])),"")</f>
      </c>
    </row>
    <row r="73" spans="1:15" x14ac:dyDescent="0.25">
      <c r="A73" s="1" t="s">
        <v>36</v>
      </c>
      <c r="B73" s="56" t="s">
        <v>198</v>
      </c>
      <c r="C73" s="56" t="s">
        <v>75</v>
      </c>
      <c r="D73" s="1" t="s">
        <v>36</v>
      </c>
      <c r="E73" s="1" t="s">
        <v>36</v>
      </c>
      <c r="F73" s="1" t="s">
        <v>36</v>
      </c>
      <c r="G73" s="1" t="s">
        <v>36</v>
      </c>
      <c r="H73" s="56">
        <v>22.6</v>
      </c>
      <c r="I73" s="56" t="s">
        <v>199</v>
      </c>
      <c r="J73" s="1" t="s">
        <v>36</v>
      </c>
      <c r="K73" s="56">
        <v>6</v>
      </c>
      <c r="L73" s="56">
        <v>0.514</v>
      </c>
      <c r="M73" s="56" t="s">
        <v>125</v>
      </c>
      <c r="N73" s="1"/>
      <c r="O73" s="57">
        <f t="array" ref="O2">_xlfn._xlws.FILTER(Таблица4[Наименование],ISNUMBER(SEARCH('Спецификация для запроса ТУ'!C312,Таблица4[Наименование])),"")</f>
      </c>
    </row>
    <row r="74" spans="1:15" x14ac:dyDescent="0.25">
      <c r="A74" s="1" t="s">
        <v>36</v>
      </c>
      <c r="B74" s="56" t="s">
        <v>200</v>
      </c>
      <c r="C74" s="56" t="s">
        <v>75</v>
      </c>
      <c r="D74" s="1" t="s">
        <v>36</v>
      </c>
      <c r="E74" s="1" t="s">
        <v>36</v>
      </c>
      <c r="F74" s="1" t="s">
        <v>36</v>
      </c>
      <c r="G74" s="1" t="s">
        <v>36</v>
      </c>
      <c r="H74" s="56">
        <v>25.8</v>
      </c>
      <c r="I74" s="56" t="s">
        <v>201</v>
      </c>
      <c r="J74" s="1" t="s">
        <v>36</v>
      </c>
      <c r="K74" s="56">
        <v>6</v>
      </c>
      <c r="L74" s="56">
        <v>0.523</v>
      </c>
      <c r="M74" s="56" t="s">
        <v>125</v>
      </c>
      <c r="N74" s="1"/>
      <c r="O74" s="57">
        <f t="array" ref="O2">_xlfn._xlws.FILTER(Таблица4[Наименование],ISNUMBER(SEARCH('Спецификация для запроса ТУ'!C312,Таблица4[Наименование])),"")</f>
      </c>
    </row>
    <row r="75" spans="1:15" x14ac:dyDescent="0.25">
      <c r="A75" s="1" t="s">
        <v>36</v>
      </c>
      <c r="B75" s="56" t="s">
        <v>202</v>
      </c>
      <c r="C75" s="56" t="s">
        <v>75</v>
      </c>
      <c r="D75" s="1" t="s">
        <v>36</v>
      </c>
      <c r="E75" s="1" t="s">
        <v>36</v>
      </c>
      <c r="F75" s="1" t="s">
        <v>36</v>
      </c>
      <c r="G75" s="1" t="s">
        <v>36</v>
      </c>
      <c r="H75" s="56">
        <v>25.4</v>
      </c>
      <c r="I75" s="56" t="s">
        <v>201</v>
      </c>
      <c r="J75" s="1" t="s">
        <v>36</v>
      </c>
      <c r="K75" s="56">
        <v>6</v>
      </c>
      <c r="L75" s="56">
        <v>0.523</v>
      </c>
      <c r="M75" s="56" t="s">
        <v>203</v>
      </c>
      <c r="N75" s="1"/>
      <c r="O75" s="57">
        <f t="array" ref="O2">_xlfn._xlws.FILTER(Таблица4[Наименование],ISNUMBER(SEARCH('Спецификация для запроса ТУ'!C312,Таблица4[Наименование])),"")</f>
      </c>
    </row>
    <row r="76" spans="1:15" x14ac:dyDescent="0.25">
      <c r="A76" s="1" t="s">
        <v>36</v>
      </c>
      <c r="B76" s="56" t="s">
        <v>204</v>
      </c>
      <c r="C76" s="56" t="s">
        <v>75</v>
      </c>
      <c r="D76" s="1" t="s">
        <v>36</v>
      </c>
      <c r="E76" s="1" t="s">
        <v>36</v>
      </c>
      <c r="F76" s="1" t="s">
        <v>36</v>
      </c>
      <c r="G76" s="1" t="s">
        <v>36</v>
      </c>
      <c r="H76" s="56">
        <v>19.7</v>
      </c>
      <c r="I76" s="56" t="s">
        <v>201</v>
      </c>
      <c r="J76" s="1" t="s">
        <v>36</v>
      </c>
      <c r="K76" s="56">
        <v>6</v>
      </c>
      <c r="L76" s="56">
        <v>0.523</v>
      </c>
      <c r="M76" s="56" t="s">
        <v>100</v>
      </c>
      <c r="N76" s="1"/>
      <c r="O76" s="57">
        <f t="array" ref="O2">_xlfn._xlws.FILTER(Таблица4[Наименование],ISNUMBER(SEARCH('Спецификация для запроса ТУ'!C312,Таблица4[Наименование])),"")</f>
      </c>
    </row>
    <row r="77" spans="1:15" x14ac:dyDescent="0.25">
      <c r="A77" s="1" t="s">
        <v>36</v>
      </c>
      <c r="B77" s="56" t="s">
        <v>205</v>
      </c>
      <c r="C77" s="56" t="s">
        <v>75</v>
      </c>
      <c r="D77" s="1" t="s">
        <v>36</v>
      </c>
      <c r="E77" s="1" t="s">
        <v>36</v>
      </c>
      <c r="F77" s="1" t="s">
        <v>36</v>
      </c>
      <c r="G77" s="1" t="s">
        <v>36</v>
      </c>
      <c r="H77" s="56">
        <v>22.4</v>
      </c>
      <c r="I77" s="56" t="s">
        <v>206</v>
      </c>
      <c r="J77" s="1" t="s">
        <v>36</v>
      </c>
      <c r="K77" s="56">
        <v>6</v>
      </c>
      <c r="L77" s="56">
        <v>0.513</v>
      </c>
      <c r="M77" s="56" t="s">
        <v>129</v>
      </c>
      <c r="N77" s="1"/>
      <c r="O77" s="57">
        <f t="array" ref="O2">_xlfn._xlws.FILTER(Таблица4[Наименование],ISNUMBER(SEARCH('Спецификация для запроса ТУ'!C312,Таблица4[Наименование])),"")</f>
      </c>
    </row>
    <row r="78" spans="1:15" x14ac:dyDescent="0.25">
      <c r="A78" s="1" t="s">
        <v>36</v>
      </c>
      <c r="B78" s="56" t="s">
        <v>207</v>
      </c>
      <c r="C78" s="56" t="s">
        <v>75</v>
      </c>
      <c r="D78" s="1" t="s">
        <v>36</v>
      </c>
      <c r="E78" s="1" t="s">
        <v>36</v>
      </c>
      <c r="F78" s="1" t="s">
        <v>36</v>
      </c>
      <c r="G78" s="1" t="s">
        <v>36</v>
      </c>
      <c r="H78" s="56">
        <v>31.5</v>
      </c>
      <c r="I78" s="56" t="s">
        <v>208</v>
      </c>
      <c r="J78" s="1" t="s">
        <v>36</v>
      </c>
      <c r="K78" s="56">
        <v>6</v>
      </c>
      <c r="L78" s="56">
        <v>0.602</v>
      </c>
      <c r="M78" s="56" t="s">
        <v>125</v>
      </c>
      <c r="N78" s="1"/>
      <c r="O78" s="57">
        <f t="array" ref="O2">_xlfn._xlws.FILTER(Таблица4[Наименование],ISNUMBER(SEARCH('Спецификация для запроса ТУ'!C312,Таблица4[Наименование])),"")</f>
      </c>
    </row>
    <row r="79" spans="1:15" x14ac:dyDescent="0.25">
      <c r="A79" s="1" t="s">
        <v>36</v>
      </c>
      <c r="B79" s="56" t="s">
        <v>209</v>
      </c>
      <c r="C79" s="56" t="s">
        <v>75</v>
      </c>
      <c r="D79" s="1" t="s">
        <v>36</v>
      </c>
      <c r="E79" s="1" t="s">
        <v>36</v>
      </c>
      <c r="F79" s="1" t="s">
        <v>36</v>
      </c>
      <c r="G79" s="1" t="s">
        <v>36</v>
      </c>
      <c r="H79" s="56">
        <v>30.2</v>
      </c>
      <c r="I79" s="56" t="s">
        <v>167</v>
      </c>
      <c r="J79" s="1" t="s">
        <v>36</v>
      </c>
      <c r="K79" s="56">
        <v>6</v>
      </c>
      <c r="L79" s="56">
        <v>0.698</v>
      </c>
      <c r="M79" s="56" t="s">
        <v>125</v>
      </c>
      <c r="N79" s="1"/>
      <c r="O79" s="57">
        <f t="array" ref="O2">_xlfn._xlws.FILTER(Таблица4[Наименование],ISNUMBER(SEARCH('Спецификация для запроса ТУ'!C312,Таблица4[Наименование])),"")</f>
      </c>
    </row>
    <row r="80" spans="1:15" x14ac:dyDescent="0.25">
      <c r="A80" s="1" t="s">
        <v>36</v>
      </c>
      <c r="B80" s="56" t="s">
        <v>210</v>
      </c>
      <c r="C80" s="56" t="s">
        <v>75</v>
      </c>
      <c r="D80" s="1" t="s">
        <v>36</v>
      </c>
      <c r="E80" s="1" t="s">
        <v>36</v>
      </c>
      <c r="F80" s="1" t="s">
        <v>36</v>
      </c>
      <c r="G80" s="1" t="s">
        <v>36</v>
      </c>
      <c r="H80" s="56">
        <v>29.1</v>
      </c>
      <c r="I80" s="56" t="s">
        <v>167</v>
      </c>
      <c r="J80" s="1" t="s">
        <v>36</v>
      </c>
      <c r="K80" s="56">
        <v>6</v>
      </c>
      <c r="L80" s="56">
        <v>0.698</v>
      </c>
      <c r="M80" s="56" t="s">
        <v>211</v>
      </c>
      <c r="N80" s="1"/>
      <c r="O80" s="57">
        <f t="array" ref="O2">_xlfn._xlws.FILTER(Таблица4[Наименование],ISNUMBER(SEARCH('Спецификация для запроса ТУ'!C312,Таблица4[Наименование])),"")</f>
      </c>
    </row>
    <row r="81" spans="1:15" x14ac:dyDescent="0.25">
      <c r="A81" s="1" t="s">
        <v>36</v>
      </c>
      <c r="B81" s="56" t="s">
        <v>212</v>
      </c>
      <c r="C81" s="56" t="s">
        <v>75</v>
      </c>
      <c r="D81" s="1" t="s">
        <v>36</v>
      </c>
      <c r="E81" s="1" t="s">
        <v>36</v>
      </c>
      <c r="F81" s="1" t="s">
        <v>36</v>
      </c>
      <c r="G81" s="1" t="s">
        <v>36</v>
      </c>
      <c r="H81" s="56">
        <v>12.8</v>
      </c>
      <c r="I81" s="56" t="s">
        <v>213</v>
      </c>
      <c r="J81" s="1" t="s">
        <v>36</v>
      </c>
      <c r="K81" s="56">
        <v>2</v>
      </c>
      <c r="L81" s="56">
        <v>0.241</v>
      </c>
      <c r="M81" s="56" t="s">
        <v>214</v>
      </c>
      <c r="N81" s="1"/>
      <c r="O81" s="57">
        <f t="array" ref="O2">_xlfn._xlws.FILTER(Таблица4[Наименование],ISNUMBER(SEARCH('Спецификация для запроса ТУ'!C312,Таблица4[Наименование])),"")</f>
      </c>
    </row>
    <row r="82" spans="1:15" x14ac:dyDescent="0.25">
      <c r="A82" s="1" t="s">
        <v>36</v>
      </c>
      <c r="B82" s="56" t="s">
        <v>215</v>
      </c>
      <c r="C82" s="56" t="s">
        <v>75</v>
      </c>
      <c r="D82" s="1" t="s">
        <v>36</v>
      </c>
      <c r="E82" s="1" t="s">
        <v>36</v>
      </c>
      <c r="F82" s="1" t="s">
        <v>36</v>
      </c>
      <c r="G82" s="1" t="s">
        <v>36</v>
      </c>
      <c r="H82" s="56">
        <v>2</v>
      </c>
      <c r="I82" s="56" t="s">
        <v>216</v>
      </c>
      <c r="J82" s="1" t="s">
        <v>36</v>
      </c>
      <c r="K82" s="56" t="s">
        <v>40</v>
      </c>
      <c r="L82" s="56">
        <v>0.017</v>
      </c>
      <c r="M82" s="56" t="s">
        <v>217</v>
      </c>
      <c r="N82" s="1"/>
      <c r="O82" s="57">
        <f t="array" ref="O2">_xlfn._xlws.FILTER(Таблица4[Наименование],ISNUMBER(SEARCH('Спецификация для запроса ТУ'!C312,Таблица4[Наименование])),"")</f>
      </c>
    </row>
    <row r="83" spans="1:15" x14ac:dyDescent="0.25">
      <c r="A83" s="1" t="s">
        <v>36</v>
      </c>
      <c r="B83" s="56" t="s">
        <v>218</v>
      </c>
      <c r="C83" s="56" t="s">
        <v>75</v>
      </c>
      <c r="D83" s="1" t="s">
        <v>36</v>
      </c>
      <c r="E83" s="1" t="s">
        <v>36</v>
      </c>
      <c r="F83" s="1" t="s">
        <v>36</v>
      </c>
      <c r="G83" s="1" t="s">
        <v>36</v>
      </c>
      <c r="H83" s="56">
        <v>1</v>
      </c>
      <c r="I83" s="56" t="s">
        <v>219</v>
      </c>
      <c r="J83" s="1" t="s">
        <v>36</v>
      </c>
      <c r="K83" s="56" t="s">
        <v>40</v>
      </c>
      <c r="L83" s="56">
        <v>0.016</v>
      </c>
      <c r="M83" s="56" t="s">
        <v>40</v>
      </c>
      <c r="N83" s="1"/>
      <c r="O83" s="57">
        <f t="array" ref="O2">_xlfn._xlws.FILTER(Таблица4[Наименование],ISNUMBER(SEARCH('Спецификация для запроса ТУ'!C312,Таблица4[Наименование])),"")</f>
      </c>
    </row>
    <row r="84" spans="1:15" x14ac:dyDescent="0.25">
      <c r="A84" s="1" t="s">
        <v>36</v>
      </c>
      <c r="B84" s="56" t="s">
        <v>220</v>
      </c>
      <c r="C84" s="56" t="s">
        <v>75</v>
      </c>
      <c r="D84" s="1" t="s">
        <v>36</v>
      </c>
      <c r="E84" s="1" t="s">
        <v>36</v>
      </c>
      <c r="F84" s="1" t="s">
        <v>36</v>
      </c>
      <c r="G84" s="1" t="s">
        <v>36</v>
      </c>
      <c r="H84" s="56">
        <v>22.5</v>
      </c>
      <c r="I84" s="56" t="s">
        <v>221</v>
      </c>
      <c r="J84" s="1" t="s">
        <v>36</v>
      </c>
      <c r="K84" s="56">
        <v>8</v>
      </c>
      <c r="L84" s="56">
        <v>0.463</v>
      </c>
      <c r="M84" s="56" t="s">
        <v>77</v>
      </c>
      <c r="N84" s="1"/>
      <c r="O84" s="57">
        <f t="array" ref="O2">_xlfn._xlws.FILTER(Таблица4[Наименование],ISNUMBER(SEARCH('Спецификация для запроса ТУ'!C312,Таблица4[Наименование])),"")</f>
      </c>
    </row>
    <row r="85" spans="1:15" x14ac:dyDescent="0.25">
      <c r="A85" s="1" t="s">
        <v>36</v>
      </c>
      <c r="B85" s="56" t="s">
        <v>222</v>
      </c>
      <c r="C85" s="56" t="s">
        <v>75</v>
      </c>
      <c r="D85" s="1" t="s">
        <v>36</v>
      </c>
      <c r="E85" s="1" t="s">
        <v>36</v>
      </c>
      <c r="F85" s="1" t="s">
        <v>36</v>
      </c>
      <c r="G85" s="1" t="s">
        <v>36</v>
      </c>
      <c r="H85" s="56">
        <v>20.1</v>
      </c>
      <c r="I85" s="56" t="s">
        <v>223</v>
      </c>
      <c r="J85" s="1" t="s">
        <v>36</v>
      </c>
      <c r="K85" s="56">
        <v>8</v>
      </c>
      <c r="L85" s="56">
        <v>0.438</v>
      </c>
      <c r="M85" s="56" t="s">
        <v>77</v>
      </c>
      <c r="N85" s="1"/>
      <c r="O85" s="57">
        <f t="array" ref="O2">_xlfn._xlws.FILTER(Таблица4[Наименование],ISNUMBER(SEARCH('Спецификация для запроса ТУ'!C312,Таблица4[Наименование])),"")</f>
      </c>
    </row>
    <row r="86" spans="1:15" x14ac:dyDescent="0.25">
      <c r="A86" s="1" t="s">
        <v>36</v>
      </c>
      <c r="B86" s="56" t="s">
        <v>224</v>
      </c>
      <c r="C86" s="56" t="s">
        <v>75</v>
      </c>
      <c r="D86" s="1" t="s">
        <v>36</v>
      </c>
      <c r="E86" s="1" t="s">
        <v>36</v>
      </c>
      <c r="F86" s="1" t="s">
        <v>36</v>
      </c>
      <c r="G86" s="1" t="s">
        <v>36</v>
      </c>
      <c r="H86" s="56">
        <v>25</v>
      </c>
      <c r="I86" s="56" t="s">
        <v>225</v>
      </c>
      <c r="J86" s="1" t="s">
        <v>36</v>
      </c>
      <c r="K86" s="56">
        <v>2</v>
      </c>
      <c r="L86" s="56">
        <v>1.086</v>
      </c>
      <c r="M86" s="56" t="s">
        <v>226</v>
      </c>
      <c r="N86" s="1"/>
      <c r="O86" s="57">
        <f t="array" ref="O2">_xlfn._xlws.FILTER(Таблица4[Наименование],ISNUMBER(SEARCH('Спецификация для запроса ТУ'!C312,Таблица4[Наименование])),"")</f>
      </c>
    </row>
    <row r="87" spans="1:15" x14ac:dyDescent="0.25">
      <c r="A87" s="1" t="s">
        <v>36</v>
      </c>
      <c r="B87" s="56" t="s">
        <v>227</v>
      </c>
      <c r="C87" s="56" t="s">
        <v>75</v>
      </c>
      <c r="D87" s="1" t="s">
        <v>36</v>
      </c>
      <c r="E87" s="1" t="s">
        <v>36</v>
      </c>
      <c r="F87" s="1" t="s">
        <v>36</v>
      </c>
      <c r="G87" s="1" t="s">
        <v>36</v>
      </c>
      <c r="H87" s="56">
        <v>33.4</v>
      </c>
      <c r="I87" s="56" t="s">
        <v>228</v>
      </c>
      <c r="J87" s="1" t="s">
        <v>36</v>
      </c>
      <c r="K87" s="56">
        <v>8</v>
      </c>
      <c r="L87" s="56">
        <v>0.699</v>
      </c>
      <c r="M87" s="56" t="s">
        <v>229</v>
      </c>
      <c r="N87" s="1"/>
      <c r="O87" s="57">
        <f t="array" ref="O2">_xlfn._xlws.FILTER(Таблица4[Наименование],ISNUMBER(SEARCH('Спецификация для запроса ТУ'!C312,Таблица4[Наименование])),"")</f>
      </c>
    </row>
    <row r="88" spans="1:15" x14ac:dyDescent="0.25">
      <c r="A88" s="1" t="s">
        <v>36</v>
      </c>
      <c r="B88" s="56" t="s">
        <v>230</v>
      </c>
      <c r="C88" s="56" t="s">
        <v>75</v>
      </c>
      <c r="D88" s="1" t="s">
        <v>36</v>
      </c>
      <c r="E88" s="1" t="s">
        <v>36</v>
      </c>
      <c r="F88" s="1" t="s">
        <v>36</v>
      </c>
      <c r="G88" s="1" t="s">
        <v>36</v>
      </c>
      <c r="H88" s="56">
        <v>23.6</v>
      </c>
      <c r="I88" s="56" t="s">
        <v>113</v>
      </c>
      <c r="J88" s="1" t="s">
        <v>36</v>
      </c>
      <c r="K88" s="56">
        <v>4</v>
      </c>
      <c r="L88" s="56">
        <v>0.448</v>
      </c>
      <c r="M88" s="56" t="s">
        <v>117</v>
      </c>
      <c r="N88" s="1"/>
      <c r="O88" s="57">
        <f t="array" ref="O2">_xlfn._xlws.FILTER(Таблица4[Наименование],ISNUMBER(SEARCH('Спецификация для запроса ТУ'!C312,Таблица4[Наименование])),"")</f>
      </c>
    </row>
    <row r="89" spans="1:15" x14ac:dyDescent="0.25">
      <c r="A89" s="1" t="s">
        <v>36</v>
      </c>
      <c r="B89" s="56" t="s">
        <v>231</v>
      </c>
      <c r="C89" s="56" t="s">
        <v>75</v>
      </c>
      <c r="D89" s="1" t="s">
        <v>36</v>
      </c>
      <c r="E89" s="1" t="s">
        <v>36</v>
      </c>
      <c r="F89" s="1" t="s">
        <v>36</v>
      </c>
      <c r="G89" s="1" t="s">
        <v>36</v>
      </c>
      <c r="H89" s="56">
        <v>16.6</v>
      </c>
      <c r="I89" s="56" t="s">
        <v>232</v>
      </c>
      <c r="J89" s="1" t="s">
        <v>36</v>
      </c>
      <c r="K89" s="56">
        <v>4</v>
      </c>
      <c r="L89" s="56">
        <v>0.382</v>
      </c>
      <c r="M89" s="56" t="s">
        <v>117</v>
      </c>
      <c r="N89" s="1"/>
      <c r="O89" s="57">
        <f t="array" ref="O2">_xlfn._xlws.FILTER(Таблица4[Наименование],ISNUMBER(SEARCH('Спецификация для запроса ТУ'!C312,Таблица4[Наименование])),"")</f>
      </c>
    </row>
    <row r="90" spans="1:15" x14ac:dyDescent="0.25">
      <c r="A90" s="1" t="s">
        <v>36</v>
      </c>
      <c r="B90" s="56" t="s">
        <v>233</v>
      </c>
      <c r="C90" s="56" t="s">
        <v>75</v>
      </c>
      <c r="D90" s="1" t="s">
        <v>36</v>
      </c>
      <c r="E90" s="1" t="s">
        <v>36</v>
      </c>
      <c r="F90" s="1" t="s">
        <v>36</v>
      </c>
      <c r="G90" s="1" t="s">
        <v>36</v>
      </c>
      <c r="H90" s="56">
        <v>28.6</v>
      </c>
      <c r="I90" s="56" t="s">
        <v>234</v>
      </c>
      <c r="J90" s="1" t="s">
        <v>36</v>
      </c>
      <c r="K90" s="56">
        <v>6</v>
      </c>
      <c r="L90" s="56">
        <v>0.629</v>
      </c>
      <c r="M90" s="56" t="s">
        <v>129</v>
      </c>
      <c r="N90" s="1"/>
      <c r="O90" s="57">
        <f t="array" ref="O2">_xlfn._xlws.FILTER(Таблица4[Наименование],ISNUMBER(SEARCH('Спецификация для запроса ТУ'!C312,Таблица4[Наименование])),"")</f>
      </c>
    </row>
    <row r="91" spans="1:15" x14ac:dyDescent="0.25">
      <c r="A91" s="1" t="s">
        <v>36</v>
      </c>
      <c r="B91" s="56" t="s">
        <v>235</v>
      </c>
      <c r="C91" s="56" t="s">
        <v>75</v>
      </c>
      <c r="D91" s="1" t="s">
        <v>36</v>
      </c>
      <c r="E91" s="1" t="s">
        <v>36</v>
      </c>
      <c r="F91" s="1" t="s">
        <v>36</v>
      </c>
      <c r="G91" s="1" t="s">
        <v>36</v>
      </c>
      <c r="H91" s="56">
        <v>21.6</v>
      </c>
      <c r="I91" s="56" t="s">
        <v>236</v>
      </c>
      <c r="J91" s="1" t="s">
        <v>36</v>
      </c>
      <c r="K91" s="56">
        <v>6</v>
      </c>
      <c r="L91" s="56">
        <v>0.529</v>
      </c>
      <c r="M91" s="56" t="s">
        <v>129</v>
      </c>
      <c r="N91" s="1"/>
      <c r="O91" s="57">
        <f t="array" ref="O2">_xlfn._xlws.FILTER(Таблица4[Наименование],ISNUMBER(SEARCH('Спецификация для запроса ТУ'!C312,Таблица4[Наименование])),"")</f>
      </c>
    </row>
    <row r="92" spans="1:15" x14ac:dyDescent="0.25">
      <c r="A92" s="1" t="s">
        <v>36</v>
      </c>
      <c r="B92" s="56" t="s">
        <v>237</v>
      </c>
      <c r="C92" s="56" t="s">
        <v>75</v>
      </c>
      <c r="D92" s="1" t="s">
        <v>36</v>
      </c>
      <c r="E92" s="1" t="s">
        <v>36</v>
      </c>
      <c r="F92" s="1" t="s">
        <v>36</v>
      </c>
      <c r="G92" s="1" t="s">
        <v>36</v>
      </c>
      <c r="H92" s="56">
        <v>27.3</v>
      </c>
      <c r="I92" s="56" t="s">
        <v>238</v>
      </c>
      <c r="J92" s="1" t="s">
        <v>36</v>
      </c>
      <c r="K92" s="56">
        <v>6</v>
      </c>
      <c r="L92" s="56">
        <v>0.586</v>
      </c>
      <c r="M92" s="56" t="s">
        <v>129</v>
      </c>
      <c r="N92" s="1"/>
      <c r="O92" s="57">
        <f t="array" ref="O2">_xlfn._xlws.FILTER(Таблица4[Наименование],ISNUMBER(SEARCH('Спецификация для запроса ТУ'!C312,Таблица4[Наименование])),"")</f>
      </c>
    </row>
    <row r="93" spans="1:15" x14ac:dyDescent="0.25">
      <c r="A93" s="1" t="s">
        <v>36</v>
      </c>
      <c r="B93" s="56" t="s">
        <v>239</v>
      </c>
      <c r="C93" s="56" t="s">
        <v>75</v>
      </c>
      <c r="D93" s="1" t="s">
        <v>36</v>
      </c>
      <c r="E93" s="1" t="s">
        <v>36</v>
      </c>
      <c r="F93" s="1" t="s">
        <v>36</v>
      </c>
      <c r="G93" s="1" t="s">
        <v>36</v>
      </c>
      <c r="H93" s="56">
        <v>40.3</v>
      </c>
      <c r="I93" s="56" t="s">
        <v>240</v>
      </c>
      <c r="J93" s="1" t="s">
        <v>36</v>
      </c>
      <c r="K93" s="56">
        <v>8</v>
      </c>
      <c r="L93" s="56">
        <v>1.04</v>
      </c>
      <c r="M93" s="56" t="s">
        <v>114</v>
      </c>
      <c r="N93" s="1"/>
      <c r="O93" s="57">
        <f t="array" ref="O2">_xlfn._xlws.FILTER(Таблица4[Наименование],ISNUMBER(SEARCH('Спецификация для запроса ТУ'!C312,Таблица4[Наименование])),"")</f>
      </c>
    </row>
    <row r="94" spans="1:15" x14ac:dyDescent="0.25">
      <c r="A94" s="1" t="s">
        <v>36</v>
      </c>
      <c r="B94" s="56" t="s">
        <v>241</v>
      </c>
      <c r="C94" s="56" t="s">
        <v>75</v>
      </c>
      <c r="D94" s="1" t="s">
        <v>36</v>
      </c>
      <c r="E94" s="1" t="s">
        <v>36</v>
      </c>
      <c r="F94" s="1" t="s">
        <v>36</v>
      </c>
      <c r="G94" s="1" t="s">
        <v>36</v>
      </c>
      <c r="H94" s="56">
        <v>26.6</v>
      </c>
      <c r="I94" s="56" t="s">
        <v>242</v>
      </c>
      <c r="J94" s="1" t="s">
        <v>36</v>
      </c>
      <c r="K94" s="56">
        <v>8</v>
      </c>
      <c r="L94" s="56">
        <v>0.627</v>
      </c>
      <c r="M94" s="56" t="s">
        <v>114</v>
      </c>
      <c r="N94" s="1"/>
      <c r="O94" s="57">
        <f t="array" ref="O2">_xlfn._xlws.FILTER(Таблица4[Наименование],ISNUMBER(SEARCH('Спецификация для запроса ТУ'!C312,Таблица4[Наименование])),"")</f>
      </c>
    </row>
    <row r="95" spans="1:15" x14ac:dyDescent="0.25">
      <c r="A95" s="1" t="s">
        <v>36</v>
      </c>
      <c r="B95" s="56" t="s">
        <v>243</v>
      </c>
      <c r="C95" s="56" t="s">
        <v>75</v>
      </c>
      <c r="D95" s="1" t="s">
        <v>36</v>
      </c>
      <c r="E95" s="1" t="s">
        <v>36</v>
      </c>
      <c r="F95" s="1" t="s">
        <v>36</v>
      </c>
      <c r="G95" s="1" t="s">
        <v>36</v>
      </c>
      <c r="H95" s="56">
        <v>26.6</v>
      </c>
      <c r="I95" s="56" t="s">
        <v>242</v>
      </c>
      <c r="J95" s="1" t="s">
        <v>36</v>
      </c>
      <c r="K95" s="56">
        <v>8</v>
      </c>
      <c r="L95" s="56">
        <v>0.627</v>
      </c>
      <c r="M95" s="56" t="s">
        <v>114</v>
      </c>
      <c r="N95" s="1"/>
      <c r="O95" s="57">
        <f t="array" ref="O2">_xlfn._xlws.FILTER(Таблица4[Наименование],ISNUMBER(SEARCH('Спецификация для запроса ТУ'!C312,Таблица4[Наименование])),"")</f>
      </c>
    </row>
    <row r="96" spans="1:15" x14ac:dyDescent="0.25">
      <c r="A96" s="1" t="s">
        <v>36</v>
      </c>
      <c r="B96" s="56" t="s">
        <v>244</v>
      </c>
      <c r="C96" s="56" t="s">
        <v>75</v>
      </c>
      <c r="D96" s="1" t="s">
        <v>36</v>
      </c>
      <c r="E96" s="1" t="s">
        <v>36</v>
      </c>
      <c r="F96" s="1" t="s">
        <v>36</v>
      </c>
      <c r="G96" s="1" t="s">
        <v>36</v>
      </c>
      <c r="H96" s="56">
        <v>23.5</v>
      </c>
      <c r="I96" s="56" t="s">
        <v>245</v>
      </c>
      <c r="J96" s="1" t="s">
        <v>36</v>
      </c>
      <c r="K96" s="56">
        <v>6</v>
      </c>
      <c r="L96" s="56">
        <v>0.523</v>
      </c>
      <c r="M96" s="56" t="s">
        <v>107</v>
      </c>
      <c r="N96" s="1"/>
      <c r="O96" s="57">
        <f t="array" ref="O2">_xlfn._xlws.FILTER(Таблица4[Наименование],ISNUMBER(SEARCH('Спецификация для запроса ТУ'!C312,Таблица4[Наименование])),"")</f>
      </c>
    </row>
    <row r="97" spans="1:15" x14ac:dyDescent="0.25">
      <c r="A97" s="1" t="s">
        <v>36</v>
      </c>
      <c r="B97" s="56" t="s">
        <v>246</v>
      </c>
      <c r="C97" s="56" t="s">
        <v>75</v>
      </c>
      <c r="D97" s="1" t="s">
        <v>36</v>
      </c>
      <c r="E97" s="1" t="s">
        <v>36</v>
      </c>
      <c r="F97" s="1" t="s">
        <v>36</v>
      </c>
      <c r="G97" s="1" t="s">
        <v>36</v>
      </c>
      <c r="H97" s="56">
        <v>22.5</v>
      </c>
      <c r="I97" s="56" t="s">
        <v>247</v>
      </c>
      <c r="J97" s="1" t="s">
        <v>36</v>
      </c>
      <c r="K97" s="56">
        <v>8</v>
      </c>
      <c r="L97" s="56">
        <v>0.667</v>
      </c>
      <c r="M97" s="56" t="s">
        <v>248</v>
      </c>
      <c r="N97" s="1"/>
      <c r="O97" s="57">
        <f t="array" ref="O2">_xlfn._xlws.FILTER(Таблица4[Наименование],ISNUMBER(SEARCH('Спецификация для запроса ТУ'!C312,Таблица4[Наименование])),"")</f>
      </c>
    </row>
    <row r="98" spans="1:15" x14ac:dyDescent="0.25">
      <c r="A98" s="1" t="s">
        <v>36</v>
      </c>
      <c r="B98" s="56" t="s">
        <v>249</v>
      </c>
      <c r="C98" s="56" t="s">
        <v>75</v>
      </c>
      <c r="D98" s="1" t="s">
        <v>36</v>
      </c>
      <c r="E98" s="1" t="s">
        <v>36</v>
      </c>
      <c r="F98" s="1" t="s">
        <v>36</v>
      </c>
      <c r="G98" s="1" t="s">
        <v>36</v>
      </c>
      <c r="H98" s="56">
        <v>29.8</v>
      </c>
      <c r="I98" s="56" t="s">
        <v>250</v>
      </c>
      <c r="J98" s="1" t="s">
        <v>36</v>
      </c>
      <c r="K98" s="56">
        <v>10</v>
      </c>
      <c r="L98" s="56">
        <v>0.718</v>
      </c>
      <c r="M98" s="56" t="s">
        <v>251</v>
      </c>
      <c r="N98" s="1"/>
      <c r="O98" s="57">
        <f t="array" ref="O2">_xlfn._xlws.FILTER(Таблица4[Наименование],ISNUMBER(SEARCH('Спецификация для запроса ТУ'!C312,Таблица4[Наименование])),"")</f>
      </c>
    </row>
    <row r="99" spans="1:15" x14ac:dyDescent="0.25">
      <c r="A99" s="1" t="s">
        <v>36</v>
      </c>
      <c r="B99" s="56" t="s">
        <v>252</v>
      </c>
      <c r="C99" s="56" t="s">
        <v>75</v>
      </c>
      <c r="D99" s="1" t="s">
        <v>36</v>
      </c>
      <c r="E99" s="1" t="s">
        <v>36</v>
      </c>
      <c r="F99" s="1" t="s">
        <v>36</v>
      </c>
      <c r="G99" s="1" t="s">
        <v>36</v>
      </c>
      <c r="H99" s="56">
        <v>40.3</v>
      </c>
      <c r="I99" s="56" t="s">
        <v>253</v>
      </c>
      <c r="J99" s="1" t="s">
        <v>36</v>
      </c>
      <c r="K99" s="56">
        <v>12</v>
      </c>
      <c r="L99" s="56">
        <v>0.79</v>
      </c>
      <c r="M99" s="56" t="s">
        <v>254</v>
      </c>
      <c r="N99" s="1"/>
      <c r="O99" s="57">
        <f t="array" ref="O2">_xlfn._xlws.FILTER(Таблица4[Наименование],ISNUMBER(SEARCH('Спецификация для запроса ТУ'!C312,Таблица4[Наименование])),"")</f>
      </c>
    </row>
    <row r="100" spans="1:15" x14ac:dyDescent="0.25">
      <c r="A100" s="1" t="s">
        <v>36</v>
      </c>
      <c r="B100" s="56" t="s">
        <v>255</v>
      </c>
      <c r="C100" s="56" t="s">
        <v>75</v>
      </c>
      <c r="D100" s="1" t="s">
        <v>36</v>
      </c>
      <c r="E100" s="1" t="s">
        <v>36</v>
      </c>
      <c r="F100" s="1" t="s">
        <v>36</v>
      </c>
      <c r="G100" s="1" t="s">
        <v>36</v>
      </c>
      <c r="H100" s="56">
        <v>29.6</v>
      </c>
      <c r="I100" s="56" t="s">
        <v>253</v>
      </c>
      <c r="J100" s="1" t="s">
        <v>36</v>
      </c>
      <c r="K100" s="56">
        <v>12</v>
      </c>
      <c r="L100" s="56">
        <v>0.79</v>
      </c>
      <c r="M100" s="56" t="s">
        <v>256</v>
      </c>
      <c r="N100" s="1"/>
      <c r="O100" s="57">
        <f t="array" ref="O2">_xlfn._xlws.FILTER(Таблица4[Наименование],ISNUMBER(SEARCH('Спецификация для запроса ТУ'!C312,Таблица4[Наименование])),"")</f>
      </c>
    </row>
    <row r="101" spans="1:15" x14ac:dyDescent="0.25">
      <c r="A101" s="1" t="s">
        <v>36</v>
      </c>
      <c r="B101" s="56" t="s">
        <v>257</v>
      </c>
      <c r="C101" s="56" t="s">
        <v>75</v>
      </c>
      <c r="D101" s="1" t="s">
        <v>36</v>
      </c>
      <c r="E101" s="1" t="s">
        <v>36</v>
      </c>
      <c r="F101" s="1" t="s">
        <v>36</v>
      </c>
      <c r="G101" s="1" t="s">
        <v>36</v>
      </c>
      <c r="H101" s="56">
        <v>5.1</v>
      </c>
      <c r="I101" s="56" t="s">
        <v>258</v>
      </c>
      <c r="J101" s="1" t="s">
        <v>36</v>
      </c>
      <c r="K101" s="56" t="s">
        <v>40</v>
      </c>
      <c r="L101" s="56">
        <v>0.085</v>
      </c>
      <c r="M101" s="56" t="s">
        <v>40</v>
      </c>
      <c r="N101" s="1"/>
      <c r="O101" s="57">
        <f t="array" ref="O2">_xlfn._xlws.FILTER(Таблица4[Наименование],ISNUMBER(SEARCH('Спецификация для запроса ТУ'!C312,Таблица4[Наименование])),"")</f>
      </c>
    </row>
    <row r="102" spans="1:15" x14ac:dyDescent="0.25">
      <c r="A102" s="1" t="s">
        <v>36</v>
      </c>
      <c r="B102" s="56" t="s">
        <v>259</v>
      </c>
      <c r="C102" s="56" t="s">
        <v>75</v>
      </c>
      <c r="D102" s="1" t="s">
        <v>36</v>
      </c>
      <c r="E102" s="1" t="s">
        <v>36</v>
      </c>
      <c r="F102" s="1" t="s">
        <v>36</v>
      </c>
      <c r="G102" s="1" t="s">
        <v>36</v>
      </c>
      <c r="H102" s="56">
        <v>30</v>
      </c>
      <c r="I102" s="56" t="s">
        <v>260</v>
      </c>
      <c r="J102" s="1" t="s">
        <v>36</v>
      </c>
      <c r="K102" s="56">
        <v>12</v>
      </c>
      <c r="L102" s="56">
        <v>0.747</v>
      </c>
      <c r="M102" s="56" t="s">
        <v>261</v>
      </c>
      <c r="N102" s="1"/>
      <c r="O102" s="57">
        <f t="array" ref="O2">_xlfn._xlws.FILTER(Таблица4[Наименование],ISNUMBER(SEARCH('Спецификация для запроса ТУ'!C312,Таблица4[Наименование])),"")</f>
      </c>
    </row>
    <row r="103" spans="1:15" x14ac:dyDescent="0.25">
      <c r="A103" s="1" t="s">
        <v>36</v>
      </c>
      <c r="B103" s="56" t="s">
        <v>262</v>
      </c>
      <c r="C103" s="56" t="s">
        <v>75</v>
      </c>
      <c r="D103" s="1" t="s">
        <v>36</v>
      </c>
      <c r="E103" s="1" t="s">
        <v>36</v>
      </c>
      <c r="F103" s="1" t="s">
        <v>36</v>
      </c>
      <c r="G103" s="1" t="s">
        <v>36</v>
      </c>
      <c r="H103" s="56">
        <v>37.5</v>
      </c>
      <c r="I103" s="56" t="s">
        <v>263</v>
      </c>
      <c r="J103" s="1" t="s">
        <v>36</v>
      </c>
      <c r="K103" s="56">
        <v>12</v>
      </c>
      <c r="L103" s="56">
        <v>0.896</v>
      </c>
      <c r="M103" s="56" t="s">
        <v>261</v>
      </c>
      <c r="N103" s="1"/>
      <c r="O103" s="57">
        <f t="array" ref="O2">_xlfn._xlws.FILTER(Таблица4[Наименование],ISNUMBER(SEARCH('Спецификация для запроса ТУ'!C312,Таблица4[Наименование])),"")</f>
      </c>
    </row>
    <row r="104" spans="1:15" x14ac:dyDescent="0.25">
      <c r="A104" s="1" t="s">
        <v>36</v>
      </c>
      <c r="B104" s="56" t="s">
        <v>264</v>
      </c>
      <c r="C104" s="56" t="s">
        <v>75</v>
      </c>
      <c r="D104" s="1" t="s">
        <v>36</v>
      </c>
      <c r="E104" s="1" t="s">
        <v>36</v>
      </c>
      <c r="F104" s="1" t="s">
        <v>36</v>
      </c>
      <c r="G104" s="1" t="s">
        <v>36</v>
      </c>
      <c r="H104" s="56">
        <v>33.5</v>
      </c>
      <c r="I104" s="56" t="s">
        <v>265</v>
      </c>
      <c r="J104" s="1" t="s">
        <v>36</v>
      </c>
      <c r="K104" s="56">
        <v>10</v>
      </c>
      <c r="L104" s="56">
        <v>0.725</v>
      </c>
      <c r="M104" s="56" t="s">
        <v>266</v>
      </c>
      <c r="N104" s="1"/>
      <c r="O104" s="57">
        <f t="array" ref="O2">_xlfn._xlws.FILTER(Таблица4[Наименование],ISNUMBER(SEARCH('Спецификация для запроса ТУ'!C312,Таблица4[Наименование])),"")</f>
      </c>
    </row>
    <row r="105" spans="1:15" x14ac:dyDescent="0.25">
      <c r="A105" s="1" t="s">
        <v>36</v>
      </c>
      <c r="B105" s="56" t="s">
        <v>267</v>
      </c>
      <c r="C105" s="56" t="s">
        <v>75</v>
      </c>
      <c r="D105" s="1" t="s">
        <v>36</v>
      </c>
      <c r="E105" s="1" t="s">
        <v>36</v>
      </c>
      <c r="F105" s="1" t="s">
        <v>36</v>
      </c>
      <c r="G105" s="1" t="s">
        <v>36</v>
      </c>
      <c r="H105" s="56">
        <v>34</v>
      </c>
      <c r="I105" s="56" t="s">
        <v>268</v>
      </c>
      <c r="J105" s="1" t="s">
        <v>36</v>
      </c>
      <c r="K105" s="56">
        <v>8</v>
      </c>
      <c r="L105" s="56">
        <v>0.662</v>
      </c>
      <c r="M105" s="56" t="s">
        <v>114</v>
      </c>
      <c r="N105" s="1"/>
      <c r="O105" s="57">
        <f t="array" ref="O2">_xlfn._xlws.FILTER(Таблица4[Наименование],ISNUMBER(SEARCH('Спецификация для запроса ТУ'!C312,Таблица4[Наименование])),"")</f>
      </c>
    </row>
    <row r="106" spans="1:15" x14ac:dyDescent="0.25">
      <c r="A106" s="1" t="s">
        <v>36</v>
      </c>
      <c r="B106" s="56" t="s">
        <v>269</v>
      </c>
      <c r="C106" s="56" t="s">
        <v>75</v>
      </c>
      <c r="D106" s="1" t="s">
        <v>36</v>
      </c>
      <c r="E106" s="1" t="s">
        <v>36</v>
      </c>
      <c r="F106" s="1" t="s">
        <v>36</v>
      </c>
      <c r="G106" s="1" t="s">
        <v>36</v>
      </c>
      <c r="H106" s="56">
        <v>9.8</v>
      </c>
      <c r="I106" s="56" t="s">
        <v>270</v>
      </c>
      <c r="J106" s="1" t="s">
        <v>36</v>
      </c>
      <c r="K106" s="56">
        <v>4</v>
      </c>
      <c r="L106" s="56">
        <v>0.311</v>
      </c>
      <c r="M106" s="56" t="s">
        <v>271</v>
      </c>
      <c r="N106" s="1"/>
      <c r="O106" s="57">
        <f t="array" ref="O2">_xlfn._xlws.FILTER(Таблица4[Наименование],ISNUMBER(SEARCH('Спецификация для запроса ТУ'!C312,Таблица4[Наименование])),"")</f>
      </c>
    </row>
    <row r="107" spans="1:15" x14ac:dyDescent="0.25">
      <c r="A107" s="1" t="s">
        <v>36</v>
      </c>
      <c r="B107" s="56" t="s">
        <v>272</v>
      </c>
      <c r="C107" s="56" t="s">
        <v>75</v>
      </c>
      <c r="D107" s="1" t="s">
        <v>36</v>
      </c>
      <c r="E107" s="1" t="s">
        <v>36</v>
      </c>
      <c r="F107" s="1" t="s">
        <v>36</v>
      </c>
      <c r="G107" s="1" t="s">
        <v>36</v>
      </c>
      <c r="H107" s="56">
        <v>26.5</v>
      </c>
      <c r="I107" s="56" t="s">
        <v>273</v>
      </c>
      <c r="J107" s="1" t="s">
        <v>36</v>
      </c>
      <c r="K107" s="56">
        <v>6</v>
      </c>
      <c r="L107" s="56">
        <v>0.698</v>
      </c>
      <c r="M107" s="56" t="s">
        <v>274</v>
      </c>
      <c r="N107" s="1"/>
      <c r="O107" s="57">
        <f t="array" ref="O2">_xlfn._xlws.FILTER(Таблица4[Наименование],ISNUMBER(SEARCH('Спецификация для запроса ТУ'!C312,Таблица4[Наименование])),"")</f>
      </c>
    </row>
    <row r="108" spans="1:15" x14ac:dyDescent="0.25">
      <c r="A108" s="1" t="s">
        <v>36</v>
      </c>
      <c r="B108" s="56" t="s">
        <v>275</v>
      </c>
      <c r="C108" s="56" t="s">
        <v>75</v>
      </c>
      <c r="D108" s="1" t="s">
        <v>36</v>
      </c>
      <c r="E108" s="1" t="s">
        <v>36</v>
      </c>
      <c r="F108" s="1" t="s">
        <v>36</v>
      </c>
      <c r="G108" s="1" t="s">
        <v>36</v>
      </c>
      <c r="H108" s="56">
        <v>33.5</v>
      </c>
      <c r="I108" s="56" t="s">
        <v>265</v>
      </c>
      <c r="J108" s="1" t="s">
        <v>36</v>
      </c>
      <c r="K108" s="56">
        <v>6</v>
      </c>
      <c r="L108" s="56">
        <v>0.725</v>
      </c>
      <c r="M108" s="56" t="s">
        <v>276</v>
      </c>
      <c r="N108" s="1"/>
      <c r="O108" s="57">
        <f t="array" ref="O2">_xlfn._xlws.FILTER(Таблица4[Наименование],ISNUMBER(SEARCH('Спецификация для запроса ТУ'!C312,Таблица4[Наименование])),"")</f>
      </c>
    </row>
    <row r="109" spans="1:15" x14ac:dyDescent="0.25">
      <c r="A109" s="1" t="s">
        <v>36</v>
      </c>
      <c r="B109" s="56" t="s">
        <v>277</v>
      </c>
      <c r="C109" s="56" t="s">
        <v>75</v>
      </c>
      <c r="D109" s="1" t="s">
        <v>36</v>
      </c>
      <c r="E109" s="1" t="s">
        <v>36</v>
      </c>
      <c r="F109" s="1" t="s">
        <v>36</v>
      </c>
      <c r="G109" s="1" t="s">
        <v>36</v>
      </c>
      <c r="H109" s="56">
        <v>26.5</v>
      </c>
      <c r="I109" s="56" t="s">
        <v>278</v>
      </c>
      <c r="J109" s="1" t="s">
        <v>36</v>
      </c>
      <c r="K109" s="56">
        <v>8</v>
      </c>
      <c r="L109" s="56">
        <v>0.549</v>
      </c>
      <c r="M109" s="56" t="s">
        <v>279</v>
      </c>
      <c r="N109" s="1"/>
      <c r="O109" s="57">
        <f t="array" ref="O2">_xlfn._xlws.FILTER(Таблица4[Наименование],ISNUMBER(SEARCH('Спецификация для запроса ТУ'!C312,Таблица4[Наименование])),"")</f>
      </c>
    </row>
    <row r="110" spans="1:15" x14ac:dyDescent="0.25">
      <c r="A110" s="1" t="s">
        <v>36</v>
      </c>
      <c r="B110" s="56" t="s">
        <v>280</v>
      </c>
      <c r="C110" s="56" t="s">
        <v>75</v>
      </c>
      <c r="D110" s="1" t="s">
        <v>36</v>
      </c>
      <c r="E110" s="1" t="s">
        <v>36</v>
      </c>
      <c r="F110" s="1" t="s">
        <v>36</v>
      </c>
      <c r="G110" s="1" t="s">
        <v>36</v>
      </c>
      <c r="H110" s="56">
        <v>32.5</v>
      </c>
      <c r="I110" s="56" t="s">
        <v>281</v>
      </c>
      <c r="J110" s="1" t="s">
        <v>36</v>
      </c>
      <c r="K110" s="56">
        <v>8</v>
      </c>
      <c r="L110" s="56">
        <v>0.756</v>
      </c>
      <c r="M110" s="56" t="s">
        <v>279</v>
      </c>
      <c r="N110" s="1"/>
      <c r="O110" s="57">
        <f t="array" ref="O2">_xlfn._xlws.FILTER(Таблица4[Наименование],ISNUMBER(SEARCH('Спецификация для запроса ТУ'!C312,Таблица4[Наименование])),"")</f>
      </c>
    </row>
    <row r="111" spans="1:15" x14ac:dyDescent="0.25">
      <c r="A111" s="1" t="s">
        <v>36</v>
      </c>
      <c r="B111" s="56" t="s">
        <v>282</v>
      </c>
      <c r="C111" s="56" t="s">
        <v>75</v>
      </c>
      <c r="D111" s="1" t="s">
        <v>36</v>
      </c>
      <c r="E111" s="1" t="s">
        <v>36</v>
      </c>
      <c r="F111" s="1" t="s">
        <v>36</v>
      </c>
      <c r="G111" s="1" t="s">
        <v>36</v>
      </c>
      <c r="H111" s="56">
        <v>22</v>
      </c>
      <c r="I111" s="56" t="s">
        <v>283</v>
      </c>
      <c r="J111" s="1" t="s">
        <v>36</v>
      </c>
      <c r="K111" s="56">
        <v>10</v>
      </c>
      <c r="L111" s="56">
        <v>0.525</v>
      </c>
      <c r="M111" s="56" t="s">
        <v>266</v>
      </c>
      <c r="N111" s="1"/>
      <c r="O111" s="57">
        <f t="array" ref="O2">_xlfn._xlws.FILTER(Таблица4[Наименование],ISNUMBER(SEARCH('Спецификация для запроса ТУ'!C312,Таблица4[Наименование])),"")</f>
      </c>
    </row>
    <row r="112" spans="1:15" x14ac:dyDescent="0.25">
      <c r="A112" s="1" t="s">
        <v>36</v>
      </c>
      <c r="B112" s="56" t="s">
        <v>284</v>
      </c>
      <c r="C112" s="56" t="s">
        <v>75</v>
      </c>
      <c r="D112" s="1" t="s">
        <v>36</v>
      </c>
      <c r="E112" s="1" t="s">
        <v>36</v>
      </c>
      <c r="F112" s="1" t="s">
        <v>36</v>
      </c>
      <c r="G112" s="1" t="s">
        <v>36</v>
      </c>
      <c r="H112" s="56">
        <v>26</v>
      </c>
      <c r="I112" s="56" t="s">
        <v>273</v>
      </c>
      <c r="J112" s="1" t="s">
        <v>36</v>
      </c>
      <c r="K112" s="56">
        <v>10</v>
      </c>
      <c r="L112" s="56">
        <v>0.698</v>
      </c>
      <c r="M112" s="56" t="s">
        <v>266</v>
      </c>
      <c r="N112" s="1"/>
      <c r="O112" s="57">
        <f t="array" ref="O2">_xlfn._xlws.FILTER(Таблица4[Наименование],ISNUMBER(SEARCH('Спецификация для запроса ТУ'!C312,Таблица4[Наименование])),"")</f>
      </c>
    </row>
    <row r="113" spans="1:15" x14ac:dyDescent="0.25">
      <c r="A113" s="1" t="s">
        <v>36</v>
      </c>
      <c r="B113" s="56" t="s">
        <v>285</v>
      </c>
      <c r="C113" s="56" t="s">
        <v>75</v>
      </c>
      <c r="D113" s="1" t="s">
        <v>36</v>
      </c>
      <c r="E113" s="1" t="s">
        <v>36</v>
      </c>
      <c r="F113" s="1" t="s">
        <v>36</v>
      </c>
      <c r="G113" s="1" t="s">
        <v>36</v>
      </c>
      <c r="H113" s="56">
        <v>33.5</v>
      </c>
      <c r="I113" s="56" t="s">
        <v>265</v>
      </c>
      <c r="J113" s="1" t="s">
        <v>36</v>
      </c>
      <c r="K113" s="56">
        <v>10</v>
      </c>
      <c r="L113" s="56">
        <v>0.725</v>
      </c>
      <c r="M113" s="56" t="s">
        <v>266</v>
      </c>
      <c r="N113" s="1"/>
      <c r="O113" s="57">
        <f t="array" ref="O2">_xlfn._xlws.FILTER(Таблица4[Наименование],ISNUMBER(SEARCH('Спецификация для запроса ТУ'!C312,Таблица4[Наименование])),"")</f>
      </c>
    </row>
    <row r="114" spans="1:15" x14ac:dyDescent="0.25">
      <c r="A114" s="1" t="s">
        <v>36</v>
      </c>
      <c r="B114" s="56" t="s">
        <v>286</v>
      </c>
      <c r="C114" s="56" t="s">
        <v>75</v>
      </c>
      <c r="D114" s="1" t="s">
        <v>36</v>
      </c>
      <c r="E114" s="1" t="s">
        <v>36</v>
      </c>
      <c r="F114" s="1" t="s">
        <v>36</v>
      </c>
      <c r="G114" s="1" t="s">
        <v>36</v>
      </c>
      <c r="H114" s="56">
        <v>14.5</v>
      </c>
      <c r="I114" s="56" t="s">
        <v>287</v>
      </c>
      <c r="J114" s="1" t="s">
        <v>36</v>
      </c>
      <c r="K114" s="56">
        <v>2</v>
      </c>
      <c r="L114" s="56">
        <v>0.36</v>
      </c>
      <c r="M114" s="56" t="s">
        <v>143</v>
      </c>
      <c r="N114" s="1"/>
      <c r="O114" s="57">
        <f t="array" ref="O2">_xlfn._xlws.FILTER(Таблица4[Наименование],ISNUMBER(SEARCH('Спецификация для запроса ТУ'!C312,Таблица4[Наименование])),"")</f>
      </c>
    </row>
    <row r="115" spans="1:15" x14ac:dyDescent="0.25">
      <c r="A115" s="1" t="s">
        <v>36</v>
      </c>
      <c r="B115" s="56" t="s">
        <v>288</v>
      </c>
      <c r="C115" s="56" t="s">
        <v>75</v>
      </c>
      <c r="D115" s="1" t="s">
        <v>36</v>
      </c>
      <c r="E115" s="1" t="s">
        <v>36</v>
      </c>
      <c r="F115" s="1" t="s">
        <v>36</v>
      </c>
      <c r="G115" s="1" t="s">
        <v>36</v>
      </c>
      <c r="H115" s="56">
        <v>33.9</v>
      </c>
      <c r="I115" s="56" t="s">
        <v>289</v>
      </c>
      <c r="J115" s="1" t="s">
        <v>36</v>
      </c>
      <c r="K115" s="56">
        <v>10</v>
      </c>
      <c r="L115" s="56">
        <v>0.738</v>
      </c>
      <c r="M115" s="56" t="s">
        <v>88</v>
      </c>
      <c r="N115" s="1"/>
      <c r="O115" s="57">
        <f t="array" ref="O2">_xlfn._xlws.FILTER(Таблица4[Наименование],ISNUMBER(SEARCH('Спецификация для запроса ТУ'!C312,Таблица4[Наименование])),"")</f>
      </c>
    </row>
    <row r="116" spans="1:15" x14ac:dyDescent="0.25">
      <c r="A116" s="1" t="s">
        <v>36</v>
      </c>
      <c r="B116" s="56" t="s">
        <v>290</v>
      </c>
      <c r="C116" s="56" t="s">
        <v>75</v>
      </c>
      <c r="D116" s="1" t="s">
        <v>36</v>
      </c>
      <c r="E116" s="1" t="s">
        <v>36</v>
      </c>
      <c r="F116" s="1" t="s">
        <v>36</v>
      </c>
      <c r="G116" s="1" t="s">
        <v>36</v>
      </c>
      <c r="H116" s="56">
        <v>39.4</v>
      </c>
      <c r="I116" s="56" t="s">
        <v>291</v>
      </c>
      <c r="J116" s="1" t="s">
        <v>36</v>
      </c>
      <c r="K116" s="56">
        <v>10</v>
      </c>
      <c r="L116" s="56">
        <v>0.938</v>
      </c>
      <c r="M116" s="56" t="s">
        <v>266</v>
      </c>
      <c r="N116" s="1"/>
      <c r="O116" s="57">
        <f t="array" ref="O2">_xlfn._xlws.FILTER(Таблица4[Наименование],ISNUMBER(SEARCH('Спецификация для запроса ТУ'!C312,Таблица4[Наименование])),"")</f>
      </c>
    </row>
    <row r="117" spans="1:15" x14ac:dyDescent="0.25">
      <c r="A117" s="1" t="s">
        <v>36</v>
      </c>
      <c r="B117" s="56" t="s">
        <v>292</v>
      </c>
      <c r="C117" s="56" t="s">
        <v>75</v>
      </c>
      <c r="D117" s="1" t="s">
        <v>36</v>
      </c>
      <c r="E117" s="1" t="s">
        <v>36</v>
      </c>
      <c r="F117" s="1" t="s">
        <v>36</v>
      </c>
      <c r="G117" s="1" t="s">
        <v>36</v>
      </c>
      <c r="H117" s="56">
        <v>29.7</v>
      </c>
      <c r="I117" s="56" t="s">
        <v>289</v>
      </c>
      <c r="J117" s="1" t="s">
        <v>36</v>
      </c>
      <c r="K117" s="56">
        <v>10</v>
      </c>
      <c r="L117" s="56">
        <v>0.738</v>
      </c>
      <c r="M117" s="56" t="s">
        <v>293</v>
      </c>
      <c r="N117" s="1"/>
      <c r="O117" s="57">
        <f t="array" ref="O2">_xlfn._xlws.FILTER(Таблица4[Наименование],ISNUMBER(SEARCH('Спецификация для запроса ТУ'!C312,Таблица4[Наименование])),"")</f>
      </c>
    </row>
    <row r="118" spans="1:15" x14ac:dyDescent="0.25">
      <c r="A118" s="1" t="s">
        <v>36</v>
      </c>
      <c r="B118" s="56" t="s">
        <v>294</v>
      </c>
      <c r="C118" s="56" t="s">
        <v>75</v>
      </c>
      <c r="D118" s="1" t="s">
        <v>36</v>
      </c>
      <c r="E118" s="1" t="s">
        <v>36</v>
      </c>
      <c r="F118" s="1" t="s">
        <v>36</v>
      </c>
      <c r="G118" s="1" t="s">
        <v>36</v>
      </c>
      <c r="H118" s="56">
        <v>26.4</v>
      </c>
      <c r="I118" s="56" t="s">
        <v>295</v>
      </c>
      <c r="J118" s="1" t="s">
        <v>36</v>
      </c>
      <c r="K118" s="56">
        <v>10</v>
      </c>
      <c r="L118" s="56">
        <v>0.532</v>
      </c>
      <c r="M118" s="56" t="s">
        <v>296</v>
      </c>
      <c r="N118" s="1"/>
      <c r="O118" s="57">
        <f t="array" ref="O2">_xlfn._xlws.FILTER(Таблица4[Наименование],ISNUMBER(SEARCH('Спецификация для запроса ТУ'!C312,Таблица4[Наименование])),"")</f>
      </c>
    </row>
    <row r="119" spans="1:15" x14ac:dyDescent="0.25">
      <c r="A119" s="1" t="s">
        <v>36</v>
      </c>
      <c r="B119" s="56" t="s">
        <v>297</v>
      </c>
      <c r="C119" s="56" t="s">
        <v>75</v>
      </c>
      <c r="D119" s="1" t="s">
        <v>36</v>
      </c>
      <c r="E119" s="1" t="s">
        <v>36</v>
      </c>
      <c r="F119" s="1" t="s">
        <v>36</v>
      </c>
      <c r="G119" s="1" t="s">
        <v>36</v>
      </c>
      <c r="H119" s="56">
        <v>35</v>
      </c>
      <c r="I119" s="56" t="s">
        <v>298</v>
      </c>
      <c r="J119" s="1" t="s">
        <v>36</v>
      </c>
      <c r="K119" s="56">
        <v>12</v>
      </c>
      <c r="L119" s="56">
        <v>0.824</v>
      </c>
      <c r="M119" s="56" t="s">
        <v>299</v>
      </c>
      <c r="N119" s="1"/>
      <c r="O119" s="57">
        <f t="array" ref="O2">_xlfn._xlws.FILTER(Таблица4[Наименование],ISNUMBER(SEARCH('Спецификация для запроса ТУ'!C312,Таблица4[Наименование])),"")</f>
      </c>
    </row>
    <row r="120" spans="1:15" x14ac:dyDescent="0.25">
      <c r="A120" s="1" t="s">
        <v>36</v>
      </c>
      <c r="B120" s="56" t="s">
        <v>300</v>
      </c>
      <c r="C120" s="56" t="s">
        <v>75</v>
      </c>
      <c r="D120" s="1" t="s">
        <v>36</v>
      </c>
      <c r="E120" s="1" t="s">
        <v>36</v>
      </c>
      <c r="F120" s="1" t="s">
        <v>36</v>
      </c>
      <c r="G120" s="1" t="s">
        <v>36</v>
      </c>
      <c r="H120" s="56">
        <v>36.8</v>
      </c>
      <c r="I120" s="56" t="s">
        <v>301</v>
      </c>
      <c r="J120" s="1" t="s">
        <v>36</v>
      </c>
      <c r="K120" s="56">
        <v>12</v>
      </c>
      <c r="L120" s="56">
        <v>0.996</v>
      </c>
      <c r="M120" s="56" t="s">
        <v>261</v>
      </c>
      <c r="N120" s="1"/>
      <c r="O120" s="57">
        <f t="array" ref="O2">_xlfn._xlws.FILTER(Таблица4[Наименование],ISNUMBER(SEARCH('Спецификация для запроса ТУ'!C312,Таблица4[Наименование])),"")</f>
      </c>
    </row>
    <row r="121" spans="1:15" x14ac:dyDescent="0.25">
      <c r="A121" s="1" t="s">
        <v>36</v>
      </c>
      <c r="B121" s="56" t="s">
        <v>302</v>
      </c>
      <c r="C121" s="56" t="s">
        <v>75</v>
      </c>
      <c r="D121" s="1" t="s">
        <v>36</v>
      </c>
      <c r="E121" s="1" t="s">
        <v>36</v>
      </c>
      <c r="F121" s="1" t="s">
        <v>36</v>
      </c>
      <c r="G121" s="1" t="s">
        <v>36</v>
      </c>
      <c r="H121" s="56">
        <v>33.5</v>
      </c>
      <c r="I121" s="56" t="s">
        <v>303</v>
      </c>
      <c r="J121" s="1" t="s">
        <v>36</v>
      </c>
      <c r="K121" s="56">
        <v>16</v>
      </c>
      <c r="L121" s="56">
        <v>1.536</v>
      </c>
      <c r="M121" s="56" t="s">
        <v>304</v>
      </c>
      <c r="N121" s="1"/>
      <c r="O121" s="57">
        <f t="array" ref="O2">_xlfn._xlws.FILTER(Таблица4[Наименование],ISNUMBER(SEARCH('Спецификация для запроса ТУ'!C312,Таблица4[Наименование])),"")</f>
      </c>
    </row>
    <row r="122" spans="1:15" x14ac:dyDescent="0.25">
      <c r="A122" s="1" t="s">
        <v>36</v>
      </c>
      <c r="B122" s="56" t="s">
        <v>305</v>
      </c>
      <c r="C122" s="56" t="s">
        <v>75</v>
      </c>
      <c r="D122" s="1" t="s">
        <v>36</v>
      </c>
      <c r="E122" s="1" t="s">
        <v>36</v>
      </c>
      <c r="F122" s="1" t="s">
        <v>36</v>
      </c>
      <c r="G122" s="1" t="s">
        <v>36</v>
      </c>
      <c r="H122" s="56">
        <v>28.5</v>
      </c>
      <c r="I122" s="56" t="s">
        <v>306</v>
      </c>
      <c r="J122" s="1" t="s">
        <v>36</v>
      </c>
      <c r="K122" s="56">
        <v>10</v>
      </c>
      <c r="L122" s="56">
        <v>0.732</v>
      </c>
      <c r="M122" s="56" t="s">
        <v>266</v>
      </c>
      <c r="N122" s="1"/>
      <c r="O122" s="57">
        <f t="array" ref="O2">_xlfn._xlws.FILTER(Таблица4[Наименование],ISNUMBER(SEARCH('Спецификация для запроса ТУ'!C312,Таблица4[Наименование])),"")</f>
      </c>
    </row>
    <row r="123" spans="1:15" x14ac:dyDescent="0.25">
      <c r="A123" s="1" t="s">
        <v>36</v>
      </c>
      <c r="B123" s="56" t="s">
        <v>307</v>
      </c>
      <c r="C123" s="56" t="s">
        <v>75</v>
      </c>
      <c r="D123" s="1" t="s">
        <v>36</v>
      </c>
      <c r="E123" s="1" t="s">
        <v>36</v>
      </c>
      <c r="F123" s="1" t="s">
        <v>36</v>
      </c>
      <c r="G123" s="1" t="s">
        <v>36</v>
      </c>
      <c r="H123" s="56">
        <v>23.1</v>
      </c>
      <c r="I123" s="56" t="s">
        <v>308</v>
      </c>
      <c r="J123" s="1" t="s">
        <v>36</v>
      </c>
      <c r="K123" s="56">
        <v>10</v>
      </c>
      <c r="L123" s="56">
        <v>0.549</v>
      </c>
      <c r="M123" s="56" t="s">
        <v>309</v>
      </c>
      <c r="N123" s="1"/>
      <c r="O123" s="57">
        <f t="array" ref="O2">_xlfn._xlws.FILTER(Таблица4[Наименование],ISNUMBER(SEARCH('Спецификация для запроса ТУ'!C312,Таблица4[Наименование])),"")</f>
      </c>
    </row>
    <row r="124" spans="1:15" x14ac:dyDescent="0.25">
      <c r="A124" s="1" t="s">
        <v>36</v>
      </c>
      <c r="B124" s="56" t="s">
        <v>310</v>
      </c>
      <c r="C124" s="56" t="s">
        <v>75</v>
      </c>
      <c r="D124" s="1" t="s">
        <v>36</v>
      </c>
      <c r="E124" s="1" t="s">
        <v>36</v>
      </c>
      <c r="F124" s="1" t="s">
        <v>36</v>
      </c>
      <c r="G124" s="1" t="s">
        <v>36</v>
      </c>
      <c r="H124" s="56">
        <v>7</v>
      </c>
      <c r="I124" s="56" t="s">
        <v>311</v>
      </c>
      <c r="J124" s="1" t="s">
        <v>36</v>
      </c>
      <c r="K124" s="56">
        <v>2</v>
      </c>
      <c r="L124" s="56">
        <v>0.228</v>
      </c>
      <c r="M124" s="56" t="s">
        <v>312</v>
      </c>
      <c r="N124" s="1"/>
      <c r="O124" s="57">
        <f t="array" ref="O2">_xlfn._xlws.FILTER(Таблица4[Наименование],ISNUMBER(SEARCH('Спецификация для запроса ТУ'!C312,Таблица4[Наименование])),"")</f>
      </c>
    </row>
    <row r="125" spans="1:15" x14ac:dyDescent="0.25">
      <c r="A125" s="1" t="s">
        <v>36</v>
      </c>
      <c r="B125" s="56" t="s">
        <v>313</v>
      </c>
      <c r="C125" s="56" t="s">
        <v>75</v>
      </c>
      <c r="D125" s="1" t="s">
        <v>36</v>
      </c>
      <c r="E125" s="1" t="s">
        <v>36</v>
      </c>
      <c r="F125" s="1" t="s">
        <v>36</v>
      </c>
      <c r="G125" s="1" t="s">
        <v>36</v>
      </c>
      <c r="H125" s="56">
        <v>19</v>
      </c>
      <c r="I125" s="56" t="s">
        <v>314</v>
      </c>
      <c r="J125" s="1" t="s">
        <v>36</v>
      </c>
      <c r="K125" s="56">
        <v>4</v>
      </c>
      <c r="L125" s="56">
        <v>0.435</v>
      </c>
      <c r="M125" s="56" t="s">
        <v>117</v>
      </c>
      <c r="N125" s="1"/>
      <c r="O125" s="57">
        <f t="array" ref="O2">_xlfn._xlws.FILTER(Таблица4[Наименование],ISNUMBER(SEARCH('Спецификация для запроса ТУ'!C312,Таблица4[Наименование])),"")</f>
      </c>
    </row>
    <row r="126" spans="1:15" x14ac:dyDescent="0.25">
      <c r="A126" s="1" t="s">
        <v>36</v>
      </c>
      <c r="B126" s="56" t="s">
        <v>315</v>
      </c>
      <c r="C126" s="56" t="s">
        <v>75</v>
      </c>
      <c r="D126" s="1" t="s">
        <v>36</v>
      </c>
      <c r="E126" s="1" t="s">
        <v>36</v>
      </c>
      <c r="F126" s="1" t="s">
        <v>36</v>
      </c>
      <c r="G126" s="1" t="s">
        <v>36</v>
      </c>
      <c r="H126" s="56">
        <v>19</v>
      </c>
      <c r="I126" s="56" t="s">
        <v>316</v>
      </c>
      <c r="J126" s="1" t="s">
        <v>36</v>
      </c>
      <c r="K126" s="56">
        <v>4</v>
      </c>
      <c r="L126" s="56">
        <v>0.394</v>
      </c>
      <c r="M126" s="56" t="s">
        <v>117</v>
      </c>
      <c r="N126" s="1"/>
      <c r="O126" s="57">
        <f t="array" ref="O2">_xlfn._xlws.FILTER(Таблица4[Наименование],ISNUMBER(SEARCH('Спецификация для запроса ТУ'!C312,Таблица4[Наименование])),"")</f>
      </c>
    </row>
    <row r="127" spans="1:15" x14ac:dyDescent="0.25">
      <c r="A127" s="1" t="s">
        <v>36</v>
      </c>
      <c r="B127" s="56" t="s">
        <v>317</v>
      </c>
      <c r="C127" s="56" t="s">
        <v>75</v>
      </c>
      <c r="D127" s="1" t="s">
        <v>36</v>
      </c>
      <c r="E127" s="1" t="s">
        <v>36</v>
      </c>
      <c r="F127" s="1" t="s">
        <v>36</v>
      </c>
      <c r="G127" s="1" t="s">
        <v>36</v>
      </c>
      <c r="H127" s="56">
        <v>25.1</v>
      </c>
      <c r="I127" s="56" t="s">
        <v>295</v>
      </c>
      <c r="J127" s="1" t="s">
        <v>36</v>
      </c>
      <c r="K127" s="56">
        <v>6</v>
      </c>
      <c r="L127" s="56">
        <v>0.532</v>
      </c>
      <c r="M127" s="56" t="s">
        <v>318</v>
      </c>
      <c r="N127" s="1"/>
      <c r="O127" s="57">
        <f t="array" ref="O2">_xlfn._xlws.FILTER(Таблица4[Наименование],ISNUMBER(SEARCH('Спецификация для запроса ТУ'!C312,Таблица4[Наименование])),"")</f>
      </c>
    </row>
    <row r="128" spans="1:15" x14ac:dyDescent="0.25">
      <c r="A128" s="1" t="s">
        <v>36</v>
      </c>
      <c r="B128" s="56" t="s">
        <v>319</v>
      </c>
      <c r="C128" s="56" t="s">
        <v>75</v>
      </c>
      <c r="D128" s="1" t="s">
        <v>36</v>
      </c>
      <c r="E128" s="1" t="s">
        <v>36</v>
      </c>
      <c r="F128" s="1" t="s">
        <v>36</v>
      </c>
      <c r="G128" s="1" t="s">
        <v>36</v>
      </c>
      <c r="H128" s="56">
        <v>18.4</v>
      </c>
      <c r="I128" s="56" t="s">
        <v>320</v>
      </c>
      <c r="J128" s="1" t="s">
        <v>36</v>
      </c>
      <c r="K128" s="56">
        <v>6</v>
      </c>
      <c r="L128" s="56">
        <v>0.27</v>
      </c>
      <c r="M128" s="56" t="s">
        <v>321</v>
      </c>
      <c r="N128" s="1"/>
      <c r="O128" s="57">
        <f t="array" ref="O2">_xlfn._xlws.FILTER(Таблица4[Наименование],ISNUMBER(SEARCH('Спецификация для запроса ТУ'!C312,Таблица4[Наименование])),"")</f>
      </c>
    </row>
    <row r="129" spans="1:15" x14ac:dyDescent="0.25">
      <c r="A129" s="1" t="s">
        <v>36</v>
      </c>
      <c r="B129" s="56" t="s">
        <v>322</v>
      </c>
      <c r="C129" s="56" t="s">
        <v>75</v>
      </c>
      <c r="D129" s="1" t="s">
        <v>36</v>
      </c>
      <c r="E129" s="1" t="s">
        <v>36</v>
      </c>
      <c r="F129" s="1" t="s">
        <v>36</v>
      </c>
      <c r="G129" s="1" t="s">
        <v>36</v>
      </c>
      <c r="H129" s="56">
        <v>35.9</v>
      </c>
      <c r="I129" s="56" t="s">
        <v>323</v>
      </c>
      <c r="J129" s="1" t="s">
        <v>36</v>
      </c>
      <c r="K129" s="56">
        <v>10</v>
      </c>
      <c r="L129" s="56">
        <v>0.703</v>
      </c>
      <c r="M129" s="56" t="s">
        <v>88</v>
      </c>
      <c r="N129" s="1"/>
      <c r="O129" s="57">
        <f t="array" ref="O2">_xlfn._xlws.FILTER(Таблица4[Наименование],ISNUMBER(SEARCH('Спецификация для запроса ТУ'!C312,Таблица4[Наименование])),"")</f>
      </c>
    </row>
    <row r="130" spans="1:15" x14ac:dyDescent="0.25">
      <c r="A130" s="1" t="s">
        <v>36</v>
      </c>
      <c r="B130" s="56" t="s">
        <v>324</v>
      </c>
      <c r="C130" s="56" t="s">
        <v>75</v>
      </c>
      <c r="D130" s="1" t="s">
        <v>36</v>
      </c>
      <c r="E130" s="1" t="s">
        <v>36</v>
      </c>
      <c r="F130" s="1" t="s">
        <v>36</v>
      </c>
      <c r="G130" s="1" t="s">
        <v>36</v>
      </c>
      <c r="H130" s="56">
        <v>34.4</v>
      </c>
      <c r="I130" s="56" t="s">
        <v>325</v>
      </c>
      <c r="J130" s="1" t="s">
        <v>36</v>
      </c>
      <c r="K130" s="56">
        <v>12</v>
      </c>
      <c r="L130" s="56">
        <v>0.669</v>
      </c>
      <c r="M130" s="56" t="s">
        <v>326</v>
      </c>
      <c r="N130" s="1"/>
      <c r="O130" s="57">
        <f t="array" ref="O2">_xlfn._xlws.FILTER(Таблица4[Наименование],ISNUMBER(SEARCH('Спецификация для запроса ТУ'!C312,Таблица4[Наименование])),"")</f>
      </c>
    </row>
    <row r="131" spans="1:15" x14ac:dyDescent="0.25">
      <c r="A131" s="1" t="s">
        <v>36</v>
      </c>
      <c r="B131" s="56" t="s">
        <v>327</v>
      </c>
      <c r="C131" s="56" t="s">
        <v>75</v>
      </c>
      <c r="D131" s="1" t="s">
        <v>36</v>
      </c>
      <c r="E131" s="1" t="s">
        <v>36</v>
      </c>
      <c r="F131" s="1" t="s">
        <v>36</v>
      </c>
      <c r="G131" s="1" t="s">
        <v>36</v>
      </c>
      <c r="H131" s="56">
        <v>36</v>
      </c>
      <c r="I131" s="56" t="s">
        <v>328</v>
      </c>
      <c r="J131" s="1" t="s">
        <v>36</v>
      </c>
      <c r="K131" s="56">
        <v>8</v>
      </c>
      <c r="L131" s="56">
        <v>0.79</v>
      </c>
      <c r="M131" s="56" t="s">
        <v>329</v>
      </c>
      <c r="N131" s="1"/>
      <c r="O131" s="57">
        <f t="array" ref="O2">_xlfn._xlws.FILTER(Таблица4[Наименование],ISNUMBER(SEARCH('Спецификация для запроса ТУ'!C312,Таблица4[Наименование])),"")</f>
      </c>
    </row>
    <row r="132" spans="1:15" x14ac:dyDescent="0.25">
      <c r="A132" s="1" t="s">
        <v>36</v>
      </c>
      <c r="B132" s="56" t="s">
        <v>330</v>
      </c>
      <c r="C132" s="56" t="s">
        <v>75</v>
      </c>
      <c r="D132" s="1" t="s">
        <v>36</v>
      </c>
      <c r="E132" s="1" t="s">
        <v>36</v>
      </c>
      <c r="F132" s="1" t="s">
        <v>36</v>
      </c>
      <c r="G132" s="1" t="s">
        <v>36</v>
      </c>
      <c r="H132" s="56">
        <v>35.4</v>
      </c>
      <c r="I132" s="56" t="s">
        <v>331</v>
      </c>
      <c r="J132" s="1" t="s">
        <v>36</v>
      </c>
      <c r="K132" s="56">
        <v>8</v>
      </c>
      <c r="L132" s="56">
        <v>0.71</v>
      </c>
      <c r="M132" s="56" t="s">
        <v>332</v>
      </c>
      <c r="N132" s="1"/>
      <c r="O132" s="57">
        <f t="array" ref="O2">_xlfn._xlws.FILTER(Таблица4[Наименование],ISNUMBER(SEARCH('Спецификация для запроса ТУ'!C312,Таблица4[Наименование])),"")</f>
      </c>
    </row>
    <row r="133" spans="1:15" x14ac:dyDescent="0.25">
      <c r="A133" s="1" t="s">
        <v>36</v>
      </c>
      <c r="B133" s="56" t="s">
        <v>333</v>
      </c>
      <c r="C133" s="56" t="s">
        <v>75</v>
      </c>
      <c r="D133" s="1" t="s">
        <v>36</v>
      </c>
      <c r="E133" s="1" t="s">
        <v>36</v>
      </c>
      <c r="F133" s="1" t="s">
        <v>36</v>
      </c>
      <c r="G133" s="1" t="s">
        <v>36</v>
      </c>
      <c r="H133" s="56">
        <v>27.9</v>
      </c>
      <c r="I133" s="56" t="s">
        <v>334</v>
      </c>
      <c r="J133" s="1" t="s">
        <v>36</v>
      </c>
      <c r="K133" s="56">
        <v>6</v>
      </c>
      <c r="L133" s="56">
        <v>0.515</v>
      </c>
      <c r="M133" s="56" t="s">
        <v>318</v>
      </c>
      <c r="N133" s="1"/>
      <c r="O133" s="57">
        <f t="array" ref="O2">_xlfn._xlws.FILTER(Таблица4[Наименование],ISNUMBER(SEARCH('Спецификация для запроса ТУ'!C312,Таблица4[Наименование])),"")</f>
      </c>
    </row>
    <row r="134" spans="1:15" x14ac:dyDescent="0.25">
      <c r="A134" s="1" t="s">
        <v>36</v>
      </c>
      <c r="B134" s="56" t="s">
        <v>335</v>
      </c>
      <c r="C134" s="56" t="s">
        <v>75</v>
      </c>
      <c r="D134" s="1" t="s">
        <v>36</v>
      </c>
      <c r="E134" s="1" t="s">
        <v>36</v>
      </c>
      <c r="F134" s="1" t="s">
        <v>36</v>
      </c>
      <c r="G134" s="1" t="s">
        <v>36</v>
      </c>
      <c r="H134" s="56">
        <v>32</v>
      </c>
      <c r="I134" s="56" t="s">
        <v>336</v>
      </c>
      <c r="J134" s="1" t="s">
        <v>36</v>
      </c>
      <c r="K134" s="56">
        <v>8</v>
      </c>
      <c r="L134" s="56">
        <v>0.698</v>
      </c>
      <c r="M134" s="56" t="s">
        <v>337</v>
      </c>
      <c r="N134" s="1"/>
      <c r="O134" s="57">
        <f t="array" ref="O2">_xlfn._xlws.FILTER(Таблица4[Наименование],ISNUMBER(SEARCH('Спецификация для запроса ТУ'!C312,Таблица4[Наименование])),"")</f>
      </c>
    </row>
    <row r="135" spans="1:15" x14ac:dyDescent="0.25">
      <c r="A135" s="1" t="s">
        <v>36</v>
      </c>
      <c r="B135" s="56" t="s">
        <v>338</v>
      </c>
      <c r="C135" s="56" t="s">
        <v>75</v>
      </c>
      <c r="D135" s="1" t="s">
        <v>36</v>
      </c>
      <c r="E135" s="1" t="s">
        <v>36</v>
      </c>
      <c r="F135" s="1" t="s">
        <v>36</v>
      </c>
      <c r="G135" s="1" t="s">
        <v>36</v>
      </c>
      <c r="H135" s="56">
        <v>33</v>
      </c>
      <c r="I135" s="56" t="s">
        <v>339</v>
      </c>
      <c r="J135" s="1" t="s">
        <v>36</v>
      </c>
      <c r="K135" s="56">
        <v>12</v>
      </c>
      <c r="L135" s="56">
        <v>0.735</v>
      </c>
      <c r="M135" s="56" t="s">
        <v>340</v>
      </c>
      <c r="N135" s="1"/>
      <c r="O135" s="57">
        <f t="array" ref="O2">_xlfn._xlws.FILTER(Таблица4[Наименование],ISNUMBER(SEARCH('Спецификация для запроса ТУ'!C312,Таблица4[Наименование])),"")</f>
      </c>
    </row>
    <row r="136" spans="1:15" x14ac:dyDescent="0.25">
      <c r="A136" s="1" t="s">
        <v>36</v>
      </c>
      <c r="B136" s="56" t="s">
        <v>341</v>
      </c>
      <c r="C136" s="56" t="s">
        <v>342</v>
      </c>
      <c r="D136" s="1" t="s">
        <v>36</v>
      </c>
      <c r="E136" s="1" t="s">
        <v>36</v>
      </c>
      <c r="F136" s="1" t="s">
        <v>36</v>
      </c>
      <c r="G136" s="1" t="s">
        <v>36</v>
      </c>
      <c r="H136" s="56">
        <v>20</v>
      </c>
      <c r="I136" s="56" t="s">
        <v>343</v>
      </c>
      <c r="J136" s="1" t="s">
        <v>36</v>
      </c>
      <c r="K136" s="56">
        <v>2</v>
      </c>
      <c r="L136" s="56">
        <v>0.244</v>
      </c>
      <c r="M136" s="56" t="s">
        <v>40</v>
      </c>
      <c r="N136" s="1"/>
      <c r="O136" s="57">
        <f t="array" ref="O2">_xlfn._xlws.FILTER(Таблица4[Наименование],ISNUMBER(SEARCH('Спецификация для запроса ТУ'!C312,Таблица4[Наименование])),"")</f>
      </c>
    </row>
    <row r="137" spans="1:15" x14ac:dyDescent="0.25">
      <c r="A137" s="1" t="s">
        <v>36</v>
      </c>
      <c r="B137" s="56" t="s">
        <v>344</v>
      </c>
      <c r="C137" s="56" t="s">
        <v>342</v>
      </c>
      <c r="D137" s="1" t="s">
        <v>36</v>
      </c>
      <c r="E137" s="1" t="s">
        <v>36</v>
      </c>
      <c r="F137" s="1" t="s">
        <v>36</v>
      </c>
      <c r="G137" s="1" t="s">
        <v>36</v>
      </c>
      <c r="H137" s="56">
        <v>23</v>
      </c>
      <c r="I137" s="56" t="s">
        <v>345</v>
      </c>
      <c r="J137" s="1" t="s">
        <v>36</v>
      </c>
      <c r="K137" s="56">
        <v>2</v>
      </c>
      <c r="L137" s="56">
        <v>0.216</v>
      </c>
      <c r="M137" s="56" t="s">
        <v>40</v>
      </c>
      <c r="N137" s="1"/>
      <c r="O137" s="57">
        <f t="array" ref="O2">_xlfn._xlws.FILTER(Таблица4[Наименование],ISNUMBER(SEARCH('Спецификация для запроса ТУ'!C312,Таблица4[Наименование])),"")</f>
      </c>
    </row>
    <row r="138" spans="1:15" x14ac:dyDescent="0.25">
      <c r="A138" s="1" t="s">
        <v>36</v>
      </c>
      <c r="B138" s="56" t="s">
        <v>346</v>
      </c>
      <c r="C138" s="56" t="s">
        <v>342</v>
      </c>
      <c r="D138" s="1" t="s">
        <v>36</v>
      </c>
      <c r="E138" s="1" t="s">
        <v>36</v>
      </c>
      <c r="F138" s="1" t="s">
        <v>36</v>
      </c>
      <c r="G138" s="1" t="s">
        <v>36</v>
      </c>
      <c r="H138" s="56">
        <v>23</v>
      </c>
      <c r="I138" s="56" t="s">
        <v>345</v>
      </c>
      <c r="J138" s="1" t="s">
        <v>36</v>
      </c>
      <c r="K138" s="56">
        <v>2</v>
      </c>
      <c r="L138" s="56">
        <v>0.216</v>
      </c>
      <c r="M138" s="56" t="s">
        <v>40</v>
      </c>
      <c r="N138" s="1"/>
      <c r="O138" s="57">
        <f t="array" ref="O2">_xlfn._xlws.FILTER(Таблица4[Наименование],ISNUMBER(SEARCH('Спецификация для запроса ТУ'!C312,Таблица4[Наименование])),"")</f>
      </c>
    </row>
    <row r="139" spans="1:15" x14ac:dyDescent="0.25">
      <c r="A139" s="1" t="s">
        <v>36</v>
      </c>
      <c r="B139" s="56" t="s">
        <v>347</v>
      </c>
      <c r="C139" s="56" t="s">
        <v>342</v>
      </c>
      <c r="D139" s="1" t="s">
        <v>36</v>
      </c>
      <c r="E139" s="1" t="s">
        <v>36</v>
      </c>
      <c r="F139" s="1" t="s">
        <v>36</v>
      </c>
      <c r="G139" s="1" t="s">
        <v>36</v>
      </c>
      <c r="H139" s="56">
        <v>23</v>
      </c>
      <c r="I139" s="56" t="s">
        <v>345</v>
      </c>
      <c r="J139" s="1" t="s">
        <v>36</v>
      </c>
      <c r="K139" s="56">
        <v>2</v>
      </c>
      <c r="L139" s="56">
        <v>0.216</v>
      </c>
      <c r="M139" s="56" t="s">
        <v>40</v>
      </c>
      <c r="N139" s="1"/>
      <c r="O139" s="57">
        <f t="array" ref="O2">_xlfn._xlws.FILTER(Таблица4[Наименование],ISNUMBER(SEARCH('Спецификация для запроса ТУ'!C312,Таблица4[Наименование])),"")</f>
      </c>
    </row>
    <row r="140" spans="1:15" x14ac:dyDescent="0.25">
      <c r="A140" s="1" t="s">
        <v>36</v>
      </c>
      <c r="B140" s="56" t="s">
        <v>348</v>
      </c>
      <c r="C140" s="56" t="s">
        <v>342</v>
      </c>
      <c r="D140" s="1" t="s">
        <v>36</v>
      </c>
      <c r="E140" s="1" t="s">
        <v>36</v>
      </c>
      <c r="F140" s="1" t="s">
        <v>36</v>
      </c>
      <c r="G140" s="1" t="s">
        <v>36</v>
      </c>
      <c r="H140" s="56">
        <v>29.6</v>
      </c>
      <c r="I140" s="56" t="s">
        <v>349</v>
      </c>
      <c r="J140" s="1" t="s">
        <v>36</v>
      </c>
      <c r="K140" s="56">
        <v>2</v>
      </c>
      <c r="L140" s="56">
        <v>0.243</v>
      </c>
      <c r="M140" s="56" t="s">
        <v>40</v>
      </c>
      <c r="N140" s="1"/>
      <c r="O140" s="57">
        <f t="array" ref="O2">_xlfn._xlws.FILTER(Таблица4[Наименование],ISNUMBER(SEARCH('Спецификация для запроса ТУ'!C312,Таблица4[Наименование])),"")</f>
      </c>
    </row>
    <row r="141" spans="1:15" x14ac:dyDescent="0.25">
      <c r="A141" s="1" t="s">
        <v>36</v>
      </c>
      <c r="B141" s="56" t="s">
        <v>350</v>
      </c>
      <c r="C141" s="56" t="s">
        <v>342</v>
      </c>
      <c r="D141" s="1" t="s">
        <v>36</v>
      </c>
      <c r="E141" s="1" t="s">
        <v>36</v>
      </c>
      <c r="F141" s="1" t="s">
        <v>36</v>
      </c>
      <c r="G141" s="1" t="s">
        <v>36</v>
      </c>
      <c r="H141" s="56">
        <v>12.8</v>
      </c>
      <c r="I141" s="56" t="s">
        <v>351</v>
      </c>
      <c r="J141" s="1" t="s">
        <v>36</v>
      </c>
      <c r="K141" s="56">
        <v>2</v>
      </c>
      <c r="L141" s="56">
        <v>0.105</v>
      </c>
      <c r="M141" s="56" t="s">
        <v>352</v>
      </c>
      <c r="N141" s="1"/>
      <c r="O141" s="57">
        <f t="array" ref="O2">_xlfn._xlws.FILTER(Таблица4[Наименование],ISNUMBER(SEARCH('Спецификация для запроса ТУ'!C312,Таблица4[Наименование])),"")</f>
      </c>
    </row>
    <row r="142" spans="1:15" x14ac:dyDescent="0.25">
      <c r="A142" s="1" t="s">
        <v>36</v>
      </c>
      <c r="B142" s="56" t="s">
        <v>353</v>
      </c>
      <c r="C142" s="56" t="s">
        <v>342</v>
      </c>
      <c r="D142" s="1" t="s">
        <v>36</v>
      </c>
      <c r="E142" s="1" t="s">
        <v>36</v>
      </c>
      <c r="F142" s="1" t="s">
        <v>36</v>
      </c>
      <c r="G142" s="1" t="s">
        <v>36</v>
      </c>
      <c r="H142" s="56">
        <v>13.1</v>
      </c>
      <c r="I142" s="56" t="s">
        <v>351</v>
      </c>
      <c r="J142" s="1" t="s">
        <v>36</v>
      </c>
      <c r="K142" s="56">
        <v>2</v>
      </c>
      <c r="L142" s="56">
        <v>0.105</v>
      </c>
      <c r="M142" s="56" t="s">
        <v>40</v>
      </c>
      <c r="N142" s="1"/>
      <c r="O142" s="57">
        <f t="array" ref="O2">_xlfn._xlws.FILTER(Таблица4[Наименование],ISNUMBER(SEARCH('Спецификация для запроса ТУ'!C312,Таблица4[Наименование])),"")</f>
      </c>
    </row>
    <row r="143" spans="1:15" x14ac:dyDescent="0.25">
      <c r="A143" s="1" t="s">
        <v>36</v>
      </c>
      <c r="B143" s="56" t="s">
        <v>354</v>
      </c>
      <c r="C143" s="56" t="s">
        <v>342</v>
      </c>
      <c r="D143" s="1" t="s">
        <v>36</v>
      </c>
      <c r="E143" s="1" t="s">
        <v>36</v>
      </c>
      <c r="F143" s="1" t="s">
        <v>36</v>
      </c>
      <c r="G143" s="1" t="s">
        <v>36</v>
      </c>
      <c r="H143" s="56">
        <v>18</v>
      </c>
      <c r="I143" s="56" t="s">
        <v>355</v>
      </c>
      <c r="J143" s="1" t="s">
        <v>36</v>
      </c>
      <c r="K143" s="56">
        <v>2</v>
      </c>
      <c r="L143" s="56">
        <v>0.16</v>
      </c>
      <c r="M143" s="56" t="s">
        <v>40</v>
      </c>
      <c r="N143" s="1"/>
      <c r="O143" s="57">
        <f t="array" ref="O2">_xlfn._xlws.FILTER(Таблица4[Наименование],ISNUMBER(SEARCH('Спецификация для запроса ТУ'!C312,Таблица4[Наименование])),"")</f>
      </c>
    </row>
    <row r="144" spans="1:15" x14ac:dyDescent="0.25">
      <c r="A144" s="1" t="s">
        <v>36</v>
      </c>
      <c r="B144" s="56" t="s">
        <v>356</v>
      </c>
      <c r="C144" s="56" t="s">
        <v>342</v>
      </c>
      <c r="D144" s="1" t="s">
        <v>36</v>
      </c>
      <c r="E144" s="1" t="s">
        <v>36</v>
      </c>
      <c r="F144" s="1" t="s">
        <v>36</v>
      </c>
      <c r="G144" s="1" t="s">
        <v>36</v>
      </c>
      <c r="H144" s="56">
        <v>21.5</v>
      </c>
      <c r="I144" s="56" t="s">
        <v>357</v>
      </c>
      <c r="J144" s="1" t="s">
        <v>36</v>
      </c>
      <c r="K144" s="56">
        <v>4</v>
      </c>
      <c r="L144" s="56">
        <v>0.144</v>
      </c>
      <c r="M144" s="56" t="s">
        <v>40</v>
      </c>
      <c r="N144" s="1"/>
      <c r="O144" s="57">
        <f t="array" ref="O2">_xlfn._xlws.FILTER(Таблица4[Наименование],ISNUMBER(SEARCH('Спецификация для запроса ТУ'!C312,Таблица4[Наименование])),"")</f>
      </c>
    </row>
    <row r="145" spans="1:15" x14ac:dyDescent="0.25">
      <c r="A145" s="1" t="s">
        <v>36</v>
      </c>
      <c r="B145" s="56" t="s">
        <v>358</v>
      </c>
      <c r="C145" s="56" t="s">
        <v>342</v>
      </c>
      <c r="D145" s="1" t="s">
        <v>36</v>
      </c>
      <c r="E145" s="1" t="s">
        <v>36</v>
      </c>
      <c r="F145" s="1" t="s">
        <v>36</v>
      </c>
      <c r="G145" s="1" t="s">
        <v>36</v>
      </c>
      <c r="H145" s="56">
        <v>15.6</v>
      </c>
      <c r="I145" s="56" t="s">
        <v>359</v>
      </c>
      <c r="J145" s="1" t="s">
        <v>36</v>
      </c>
      <c r="K145" s="56">
        <v>4</v>
      </c>
      <c r="L145" s="56">
        <v>0.144</v>
      </c>
      <c r="M145" s="56" t="s">
        <v>40</v>
      </c>
      <c r="N145" s="1"/>
      <c r="O145" s="57">
        <f t="array" ref="O2">_xlfn._xlws.FILTER(Таблица4[Наименование],ISNUMBER(SEARCH('Спецификация для запроса ТУ'!C312,Таблица4[Наименование])),"")</f>
      </c>
    </row>
    <row r="146" spans="1:15" x14ac:dyDescent="0.25">
      <c r="A146" s="1" t="s">
        <v>36</v>
      </c>
      <c r="B146" s="56" t="s">
        <v>360</v>
      </c>
      <c r="C146" s="56" t="s">
        <v>342</v>
      </c>
      <c r="D146" s="1" t="s">
        <v>36</v>
      </c>
      <c r="E146" s="1" t="s">
        <v>36</v>
      </c>
      <c r="F146" s="1" t="s">
        <v>36</v>
      </c>
      <c r="G146" s="1" t="s">
        <v>36</v>
      </c>
      <c r="H146" s="56">
        <v>23.6</v>
      </c>
      <c r="I146" s="56" t="s">
        <v>361</v>
      </c>
      <c r="J146" s="1" t="s">
        <v>36</v>
      </c>
      <c r="K146" s="56">
        <v>8</v>
      </c>
      <c r="L146" s="56">
        <v>0.179</v>
      </c>
      <c r="M146" s="56" t="s">
        <v>40</v>
      </c>
      <c r="N146" s="1"/>
      <c r="O146" s="57">
        <f t="array" ref="O2">_xlfn._xlws.FILTER(Таблица4[Наименование],ISNUMBER(SEARCH('Спецификация для запроса ТУ'!C312,Таблица4[Наименование])),"")</f>
      </c>
    </row>
    <row r="147" spans="1:15" x14ac:dyDescent="0.25">
      <c r="A147" s="1" t="s">
        <v>36</v>
      </c>
      <c r="B147" s="56" t="s">
        <v>362</v>
      </c>
      <c r="C147" s="56" t="s">
        <v>342</v>
      </c>
      <c r="D147" s="1" t="s">
        <v>36</v>
      </c>
      <c r="E147" s="1" t="s">
        <v>36</v>
      </c>
      <c r="F147" s="1" t="s">
        <v>36</v>
      </c>
      <c r="G147" s="1" t="s">
        <v>36</v>
      </c>
      <c r="H147" s="56">
        <v>14</v>
      </c>
      <c r="I147" s="56" t="s">
        <v>363</v>
      </c>
      <c r="J147" s="1" t="s">
        <v>36</v>
      </c>
      <c r="K147" s="56">
        <v>2</v>
      </c>
      <c r="L147" s="56">
        <v>0.12</v>
      </c>
      <c r="M147" s="56" t="s">
        <v>40</v>
      </c>
      <c r="N147" s="1"/>
      <c r="O147" s="57">
        <f t="array" ref="O2">_xlfn._xlws.FILTER(Таблица4[Наименование],ISNUMBER(SEARCH('Спецификация для запроса ТУ'!C312,Таблица4[Наименование])),"")</f>
      </c>
    </row>
    <row r="148" spans="1:15" x14ac:dyDescent="0.25">
      <c r="A148" s="1" t="s">
        <v>36</v>
      </c>
      <c r="B148" s="56" t="s">
        <v>364</v>
      </c>
      <c r="C148" s="56" t="s">
        <v>342</v>
      </c>
      <c r="D148" s="1" t="s">
        <v>36</v>
      </c>
      <c r="E148" s="1" t="s">
        <v>36</v>
      </c>
      <c r="F148" s="1" t="s">
        <v>36</v>
      </c>
      <c r="G148" s="1" t="s">
        <v>36</v>
      </c>
      <c r="H148" s="56">
        <v>14</v>
      </c>
      <c r="I148" s="56" t="s">
        <v>363</v>
      </c>
      <c r="J148" s="1" t="s">
        <v>36</v>
      </c>
      <c r="K148" s="56">
        <v>2</v>
      </c>
      <c r="L148" s="56">
        <v>0.12</v>
      </c>
      <c r="M148" s="56" t="s">
        <v>40</v>
      </c>
      <c r="N148" s="1"/>
      <c r="O148" s="57">
        <f t="array" ref="O2">_xlfn._xlws.FILTER(Таблица4[Наименование],ISNUMBER(SEARCH('Спецификация для запроса ТУ'!C312,Таблица4[Наименование])),"")</f>
      </c>
    </row>
    <row r="149" spans="1:15" x14ac:dyDescent="0.25">
      <c r="A149" s="1" t="s">
        <v>36</v>
      </c>
      <c r="B149" s="56" t="s">
        <v>365</v>
      </c>
      <c r="C149" s="56" t="s">
        <v>342</v>
      </c>
      <c r="D149" s="1" t="s">
        <v>36</v>
      </c>
      <c r="E149" s="1" t="s">
        <v>36</v>
      </c>
      <c r="F149" s="1" t="s">
        <v>36</v>
      </c>
      <c r="G149" s="1" t="s">
        <v>36</v>
      </c>
      <c r="H149" s="56">
        <v>21</v>
      </c>
      <c r="I149" s="56" t="s">
        <v>366</v>
      </c>
      <c r="J149" s="1" t="s">
        <v>36</v>
      </c>
      <c r="K149" s="56">
        <v>4</v>
      </c>
      <c r="L149" s="56">
        <v>0.12</v>
      </c>
      <c r="M149" s="56" t="s">
        <v>40</v>
      </c>
      <c r="N149" s="1"/>
      <c r="O149" s="57">
        <f t="array" ref="O2">_xlfn._xlws.FILTER(Таблица4[Наименование],ISNUMBER(SEARCH('Спецификация для запроса ТУ'!C312,Таблица4[Наименование])),"")</f>
      </c>
    </row>
    <row r="150" spans="1:15" x14ac:dyDescent="0.25">
      <c r="A150" s="1" t="s">
        <v>36</v>
      </c>
      <c r="B150" s="56" t="s">
        <v>367</v>
      </c>
      <c r="C150" s="56" t="s">
        <v>342</v>
      </c>
      <c r="D150" s="1" t="s">
        <v>36</v>
      </c>
      <c r="E150" s="1" t="s">
        <v>36</v>
      </c>
      <c r="F150" s="1" t="s">
        <v>36</v>
      </c>
      <c r="G150" s="1" t="s">
        <v>36</v>
      </c>
      <c r="H150" s="56">
        <v>15</v>
      </c>
      <c r="I150" s="56" t="s">
        <v>368</v>
      </c>
      <c r="J150" s="1" t="s">
        <v>36</v>
      </c>
      <c r="K150" s="56">
        <v>2</v>
      </c>
      <c r="L150" s="56">
        <v>0.12</v>
      </c>
      <c r="M150" s="56" t="s">
        <v>40</v>
      </c>
      <c r="N150" s="1"/>
      <c r="O150" s="57">
        <f t="array" ref="O2">_xlfn._xlws.FILTER(Таблица4[Наименование],ISNUMBER(SEARCH('Спецификация для запроса ТУ'!C312,Таблица4[Наименование])),"")</f>
      </c>
    </row>
    <row r="151" spans="1:15" x14ac:dyDescent="0.25">
      <c r="A151" s="1" t="s">
        <v>36</v>
      </c>
      <c r="B151" s="56" t="s">
        <v>369</v>
      </c>
      <c r="C151" s="56" t="s">
        <v>342</v>
      </c>
      <c r="D151" s="1" t="s">
        <v>36</v>
      </c>
      <c r="E151" s="1" t="s">
        <v>36</v>
      </c>
      <c r="F151" s="1" t="s">
        <v>36</v>
      </c>
      <c r="G151" s="1" t="s">
        <v>36</v>
      </c>
      <c r="H151" s="56">
        <v>14</v>
      </c>
      <c r="I151" s="56" t="s">
        <v>363</v>
      </c>
      <c r="J151" s="1" t="s">
        <v>36</v>
      </c>
      <c r="K151" s="56">
        <v>2</v>
      </c>
      <c r="L151" s="56">
        <v>0.12</v>
      </c>
      <c r="M151" s="56" t="s">
        <v>40</v>
      </c>
      <c r="N151" s="1"/>
      <c r="O151" s="57">
        <f t="array" ref="O2">_xlfn._xlws.FILTER(Таблица4[Наименование],ISNUMBER(SEARCH('Спецификация для запроса ТУ'!C312,Таблица4[Наименование])),"")</f>
      </c>
    </row>
    <row r="152" spans="1:15" x14ac:dyDescent="0.25">
      <c r="A152" s="1" t="s">
        <v>36</v>
      </c>
      <c r="B152" s="56" t="s">
        <v>370</v>
      </c>
      <c r="C152" s="56" t="s">
        <v>342</v>
      </c>
      <c r="D152" s="1" t="s">
        <v>36</v>
      </c>
      <c r="E152" s="1" t="s">
        <v>36</v>
      </c>
      <c r="F152" s="1" t="s">
        <v>36</v>
      </c>
      <c r="G152" s="1" t="s">
        <v>36</v>
      </c>
      <c r="H152" s="56">
        <v>14</v>
      </c>
      <c r="I152" s="56" t="s">
        <v>363</v>
      </c>
      <c r="J152" s="1" t="s">
        <v>36</v>
      </c>
      <c r="K152" s="56">
        <v>2</v>
      </c>
      <c r="L152" s="56">
        <v>0.12</v>
      </c>
      <c r="M152" s="56" t="s">
        <v>40</v>
      </c>
      <c r="N152" s="1"/>
      <c r="O152" s="57">
        <f t="array" ref="O2">_xlfn._xlws.FILTER(Таблица4[Наименование],ISNUMBER(SEARCH('Спецификация для запроса ТУ'!C312,Таблица4[Наименование])),"")</f>
      </c>
    </row>
    <row r="153" spans="1:15" x14ac:dyDescent="0.25">
      <c r="A153" s="1" t="s">
        <v>36</v>
      </c>
      <c r="B153" s="56" t="s">
        <v>371</v>
      </c>
      <c r="C153" s="56" t="s">
        <v>342</v>
      </c>
      <c r="D153" s="1" t="s">
        <v>36</v>
      </c>
      <c r="E153" s="1" t="s">
        <v>36</v>
      </c>
      <c r="F153" s="1" t="s">
        <v>36</v>
      </c>
      <c r="G153" s="1" t="s">
        <v>36</v>
      </c>
      <c r="H153" s="56">
        <v>20</v>
      </c>
      <c r="I153" s="56" t="s">
        <v>366</v>
      </c>
      <c r="J153" s="1" t="s">
        <v>36</v>
      </c>
      <c r="K153" s="56">
        <v>4</v>
      </c>
      <c r="L153" s="56">
        <v>0.12</v>
      </c>
      <c r="M153" s="56" t="s">
        <v>372</v>
      </c>
      <c r="N153" s="1"/>
      <c r="O153" s="57">
        <f t="array" ref="O2">_xlfn._xlws.FILTER(Таблица4[Наименование],ISNUMBER(SEARCH('Спецификация для запроса ТУ'!C312,Таблица4[Наименование])),"")</f>
      </c>
    </row>
    <row r="154" spans="1:15" x14ac:dyDescent="0.25">
      <c r="A154" s="1" t="s">
        <v>36</v>
      </c>
      <c r="B154" s="56" t="s">
        <v>373</v>
      </c>
      <c r="C154" s="56" t="s">
        <v>342</v>
      </c>
      <c r="D154" s="1" t="s">
        <v>36</v>
      </c>
      <c r="E154" s="1" t="s">
        <v>36</v>
      </c>
      <c r="F154" s="1" t="s">
        <v>36</v>
      </c>
      <c r="G154" s="1" t="s">
        <v>36</v>
      </c>
      <c r="H154" s="56">
        <v>15</v>
      </c>
      <c r="I154" s="56" t="s">
        <v>368</v>
      </c>
      <c r="J154" s="1" t="s">
        <v>36</v>
      </c>
      <c r="K154" s="56">
        <v>2</v>
      </c>
      <c r="L154" s="56">
        <v>0.12</v>
      </c>
      <c r="M154" s="56" t="s">
        <v>40</v>
      </c>
      <c r="N154" s="1"/>
      <c r="O154" s="57">
        <f t="array" ref="O2">_xlfn._xlws.FILTER(Таблица4[Наименование],ISNUMBER(SEARCH('Спецификация для запроса ТУ'!C312,Таблица4[Наименование])),"")</f>
      </c>
    </row>
    <row r="155" spans="1:15" x14ac:dyDescent="0.25">
      <c r="A155" s="1" t="s">
        <v>36</v>
      </c>
      <c r="B155" s="56" t="s">
        <v>374</v>
      </c>
      <c r="C155" s="56" t="s">
        <v>342</v>
      </c>
      <c r="D155" s="1" t="s">
        <v>36</v>
      </c>
      <c r="E155" s="1" t="s">
        <v>36</v>
      </c>
      <c r="F155" s="1" t="s">
        <v>36</v>
      </c>
      <c r="G155" s="1" t="s">
        <v>36</v>
      </c>
      <c r="H155" s="56">
        <v>15</v>
      </c>
      <c r="I155" s="56" t="s">
        <v>363</v>
      </c>
      <c r="J155" s="1" t="s">
        <v>36</v>
      </c>
      <c r="K155" s="56">
        <v>2</v>
      </c>
      <c r="L155" s="56">
        <v>0.12</v>
      </c>
      <c r="M155" s="56" t="s">
        <v>40</v>
      </c>
      <c r="N155" s="1"/>
      <c r="O155" s="57">
        <f t="array" ref="O2">_xlfn._xlws.FILTER(Таблица4[Наименование],ISNUMBER(SEARCH('Спецификация для запроса ТУ'!C312,Таблица4[Наименование])),"")</f>
      </c>
    </row>
    <row r="156" spans="1:15" x14ac:dyDescent="0.25">
      <c r="A156" s="1" t="s">
        <v>36</v>
      </c>
      <c r="B156" s="56" t="s">
        <v>375</v>
      </c>
      <c r="C156" s="56" t="s">
        <v>342</v>
      </c>
      <c r="D156" s="1" t="s">
        <v>36</v>
      </c>
      <c r="E156" s="1" t="s">
        <v>36</v>
      </c>
      <c r="F156" s="1" t="s">
        <v>36</v>
      </c>
      <c r="G156" s="1" t="s">
        <v>36</v>
      </c>
      <c r="H156" s="56">
        <v>20</v>
      </c>
      <c r="I156" s="56" t="s">
        <v>366</v>
      </c>
      <c r="J156" s="1" t="s">
        <v>36</v>
      </c>
      <c r="K156" s="56">
        <v>4</v>
      </c>
      <c r="L156" s="56">
        <v>0.12</v>
      </c>
      <c r="M156" s="56" t="s">
        <v>40</v>
      </c>
      <c r="N156" s="1"/>
      <c r="O156" s="57">
        <f t="array" ref="O2">_xlfn._xlws.FILTER(Таблица4[Наименование],ISNUMBER(SEARCH('Спецификация для запроса ТУ'!C312,Таблица4[Наименование])),"")</f>
      </c>
    </row>
    <row r="157" spans="1:15" x14ac:dyDescent="0.25">
      <c r="A157" s="1" t="s">
        <v>36</v>
      </c>
      <c r="B157" s="56" t="s">
        <v>376</v>
      </c>
      <c r="C157" s="56" t="s">
        <v>342</v>
      </c>
      <c r="D157" s="1" t="s">
        <v>36</v>
      </c>
      <c r="E157" s="1" t="s">
        <v>36</v>
      </c>
      <c r="F157" s="1" t="s">
        <v>36</v>
      </c>
      <c r="G157" s="1" t="s">
        <v>36</v>
      </c>
      <c r="H157" s="56">
        <v>15</v>
      </c>
      <c r="I157" s="56" t="s">
        <v>363</v>
      </c>
      <c r="J157" s="1" t="s">
        <v>36</v>
      </c>
      <c r="K157" s="56">
        <v>4</v>
      </c>
      <c r="L157" s="56">
        <v>0.12</v>
      </c>
      <c r="M157" s="56" t="s">
        <v>40</v>
      </c>
      <c r="N157" s="1"/>
      <c r="O157" s="57">
        <f t="array" ref="O2">_xlfn._xlws.FILTER(Таблица4[Наименование],ISNUMBER(SEARCH('Спецификация для запроса ТУ'!C312,Таблица4[Наименование])),"")</f>
      </c>
    </row>
    <row r="158" spans="1:15" x14ac:dyDescent="0.25">
      <c r="A158" s="1" t="s">
        <v>36</v>
      </c>
      <c r="B158" s="56" t="s">
        <v>377</v>
      </c>
      <c r="C158" s="56" t="s">
        <v>342</v>
      </c>
      <c r="D158" s="1" t="s">
        <v>36</v>
      </c>
      <c r="E158" s="1" t="s">
        <v>36</v>
      </c>
      <c r="F158" s="1" t="s">
        <v>36</v>
      </c>
      <c r="G158" s="1" t="s">
        <v>36</v>
      </c>
      <c r="H158" s="56">
        <v>15</v>
      </c>
      <c r="I158" s="56" t="s">
        <v>363</v>
      </c>
      <c r="J158" s="1" t="s">
        <v>36</v>
      </c>
      <c r="K158" s="56">
        <v>4</v>
      </c>
      <c r="L158" s="56">
        <v>0.12</v>
      </c>
      <c r="M158" s="56" t="s">
        <v>40</v>
      </c>
      <c r="N158" s="1"/>
      <c r="O158" s="57">
        <f t="array" ref="O2">_xlfn._xlws.FILTER(Таблица4[Наименование],ISNUMBER(SEARCH('Спецификация для запроса ТУ'!C312,Таблица4[Наименование])),"")</f>
      </c>
    </row>
    <row r="159" spans="1:15" x14ac:dyDescent="0.25">
      <c r="A159" s="1" t="s">
        <v>36</v>
      </c>
      <c r="B159" s="56" t="s">
        <v>378</v>
      </c>
      <c r="C159" s="56" t="s">
        <v>342</v>
      </c>
      <c r="D159" s="1" t="s">
        <v>36</v>
      </c>
      <c r="E159" s="1" t="s">
        <v>36</v>
      </c>
      <c r="F159" s="1" t="s">
        <v>36</v>
      </c>
      <c r="G159" s="1" t="s">
        <v>36</v>
      </c>
      <c r="H159" s="56">
        <v>25</v>
      </c>
      <c r="I159" s="56" t="s">
        <v>379</v>
      </c>
      <c r="J159" s="1" t="s">
        <v>36</v>
      </c>
      <c r="K159" s="56">
        <v>8</v>
      </c>
      <c r="L159" s="56">
        <v>0.171</v>
      </c>
      <c r="M159" s="56" t="s">
        <v>40</v>
      </c>
      <c r="N159" s="1"/>
      <c r="O159" s="57">
        <f t="array" ref="O2">_xlfn._xlws.FILTER(Таблица4[Наименование],ISNUMBER(SEARCH('Спецификация для запроса ТУ'!C312,Таблица4[Наименование])),"")</f>
      </c>
    </row>
    <row r="160" spans="1:15" x14ac:dyDescent="0.25">
      <c r="A160" s="1" t="s">
        <v>36</v>
      </c>
      <c r="B160" s="56" t="s">
        <v>380</v>
      </c>
      <c r="C160" s="56" t="s">
        <v>342</v>
      </c>
      <c r="D160" s="1" t="s">
        <v>36</v>
      </c>
      <c r="E160" s="1" t="s">
        <v>36</v>
      </c>
      <c r="F160" s="1" t="s">
        <v>36</v>
      </c>
      <c r="G160" s="1" t="s">
        <v>36</v>
      </c>
      <c r="H160" s="56">
        <v>15</v>
      </c>
      <c r="I160" s="56" t="s">
        <v>363</v>
      </c>
      <c r="J160" s="1" t="s">
        <v>36</v>
      </c>
      <c r="K160" s="56">
        <v>4</v>
      </c>
      <c r="L160" s="56">
        <v>0.12</v>
      </c>
      <c r="M160" s="56" t="s">
        <v>40</v>
      </c>
      <c r="N160" s="1"/>
      <c r="O160" s="57">
        <f t="array" ref="O2">_xlfn._xlws.FILTER(Таблица4[Наименование],ISNUMBER(SEARCH('Спецификация для запроса ТУ'!C312,Таблица4[Наименование])),"")</f>
      </c>
    </row>
    <row r="161" spans="1:15" x14ac:dyDescent="0.25">
      <c r="A161" s="1" t="s">
        <v>36</v>
      </c>
      <c r="B161" s="56" t="s">
        <v>381</v>
      </c>
      <c r="C161" s="56" t="s">
        <v>342</v>
      </c>
      <c r="D161" s="1" t="s">
        <v>36</v>
      </c>
      <c r="E161" s="1" t="s">
        <v>36</v>
      </c>
      <c r="F161" s="1" t="s">
        <v>36</v>
      </c>
      <c r="G161" s="1" t="s">
        <v>36</v>
      </c>
      <c r="H161" s="56">
        <v>25</v>
      </c>
      <c r="I161" s="56" t="s">
        <v>379</v>
      </c>
      <c r="J161" s="1" t="s">
        <v>36</v>
      </c>
      <c r="K161" s="56">
        <v>4</v>
      </c>
      <c r="L161" s="56">
        <v>0.171</v>
      </c>
      <c r="M161" s="56" t="s">
        <v>40</v>
      </c>
      <c r="N161" s="1"/>
      <c r="O161" s="57">
        <f t="array" ref="O2">_xlfn._xlws.FILTER(Таблица4[Наименование],ISNUMBER(SEARCH('Спецификация для запроса ТУ'!C312,Таблица4[Наименование])),"")</f>
      </c>
    </row>
    <row r="162" spans="1:15" x14ac:dyDescent="0.25">
      <c r="A162" s="1" t="s">
        <v>36</v>
      </c>
      <c r="B162" s="56" t="s">
        <v>382</v>
      </c>
      <c r="C162" s="56" t="s">
        <v>342</v>
      </c>
      <c r="D162" s="1" t="s">
        <v>36</v>
      </c>
      <c r="E162" s="1" t="s">
        <v>36</v>
      </c>
      <c r="F162" s="1" t="s">
        <v>36</v>
      </c>
      <c r="G162" s="1" t="s">
        <v>36</v>
      </c>
      <c r="H162" s="56">
        <v>25</v>
      </c>
      <c r="I162" s="56" t="s">
        <v>379</v>
      </c>
      <c r="J162" s="1" t="s">
        <v>36</v>
      </c>
      <c r="K162" s="56">
        <v>4</v>
      </c>
      <c r="L162" s="56">
        <v>0.171</v>
      </c>
      <c r="M162" s="56" t="s">
        <v>40</v>
      </c>
      <c r="N162" s="1"/>
      <c r="O162" s="57">
        <f t="array" ref="O2">_xlfn._xlws.FILTER(Таблица4[Наименование],ISNUMBER(SEARCH('Спецификация для запроса ТУ'!C312,Таблица4[Наименование])),"")</f>
      </c>
    </row>
    <row r="163" spans="1:15" x14ac:dyDescent="0.25">
      <c r="A163" s="1" t="s">
        <v>36</v>
      </c>
      <c r="B163" s="56" t="s">
        <v>383</v>
      </c>
      <c r="C163" s="56" t="s">
        <v>342</v>
      </c>
      <c r="D163" s="1" t="s">
        <v>36</v>
      </c>
      <c r="E163" s="1" t="s">
        <v>36</v>
      </c>
      <c r="F163" s="1" t="s">
        <v>36</v>
      </c>
      <c r="G163" s="1" t="s">
        <v>36</v>
      </c>
      <c r="H163" s="56">
        <v>25</v>
      </c>
      <c r="I163" s="56" t="s">
        <v>379</v>
      </c>
      <c r="J163" s="1" t="s">
        <v>36</v>
      </c>
      <c r="K163" s="56">
        <v>4</v>
      </c>
      <c r="L163" s="56">
        <v>0.171</v>
      </c>
      <c r="M163" s="56" t="s">
        <v>40</v>
      </c>
      <c r="N163" s="1"/>
      <c r="O163" s="57">
        <f t="array" ref="O2">_xlfn._xlws.FILTER(Таблица4[Наименование],ISNUMBER(SEARCH('Спецификация для запроса ТУ'!C312,Таблица4[Наименование])),"")</f>
      </c>
    </row>
    <row r="164" spans="1:15" x14ac:dyDescent="0.25">
      <c r="A164" s="1" t="s">
        <v>36</v>
      </c>
      <c r="B164" s="56" t="s">
        <v>384</v>
      </c>
      <c r="C164" s="56" t="s">
        <v>342</v>
      </c>
      <c r="D164" s="1" t="s">
        <v>36</v>
      </c>
      <c r="E164" s="1" t="s">
        <v>36</v>
      </c>
      <c r="F164" s="1" t="s">
        <v>36</v>
      </c>
      <c r="G164" s="1" t="s">
        <v>36</v>
      </c>
      <c r="H164" s="56">
        <v>25</v>
      </c>
      <c r="I164" s="56" t="s">
        <v>379</v>
      </c>
      <c r="J164" s="1" t="s">
        <v>36</v>
      </c>
      <c r="K164" s="56">
        <v>4</v>
      </c>
      <c r="L164" s="56">
        <v>0.171</v>
      </c>
      <c r="M164" s="56" t="s">
        <v>40</v>
      </c>
      <c r="N164" s="1"/>
      <c r="O164" s="57">
        <f t="array" ref="O2">_xlfn._xlws.FILTER(Таблица4[Наименование],ISNUMBER(SEARCH('Спецификация для запроса ТУ'!C312,Таблица4[Наименование])),"")</f>
      </c>
    </row>
    <row r="165" spans="1:15" x14ac:dyDescent="0.25">
      <c r="A165" s="1" t="s">
        <v>36</v>
      </c>
      <c r="B165" s="56" t="s">
        <v>385</v>
      </c>
      <c r="C165" s="56" t="s">
        <v>342</v>
      </c>
      <c r="D165" s="1" t="s">
        <v>36</v>
      </c>
      <c r="E165" s="1" t="s">
        <v>36</v>
      </c>
      <c r="F165" s="1" t="s">
        <v>36</v>
      </c>
      <c r="G165" s="1" t="s">
        <v>36</v>
      </c>
      <c r="H165" s="56">
        <v>25</v>
      </c>
      <c r="I165" s="56" t="s">
        <v>379</v>
      </c>
      <c r="J165" s="1" t="s">
        <v>36</v>
      </c>
      <c r="K165" s="56">
        <v>4</v>
      </c>
      <c r="L165" s="56">
        <v>0.171</v>
      </c>
      <c r="M165" s="56" t="s">
        <v>40</v>
      </c>
      <c r="N165" s="1"/>
      <c r="O165" s="57">
        <f t="array" ref="O2">_xlfn._xlws.FILTER(Таблица4[Наименование],ISNUMBER(SEARCH('Спецификация для запроса ТУ'!C312,Таблица4[Наименование])),"")</f>
      </c>
    </row>
    <row r="166" spans="1:15" x14ac:dyDescent="0.25">
      <c r="A166" s="1" t="s">
        <v>36</v>
      </c>
      <c r="B166" s="56" t="s">
        <v>386</v>
      </c>
      <c r="C166" s="56" t="s">
        <v>342</v>
      </c>
      <c r="D166" s="1" t="s">
        <v>36</v>
      </c>
      <c r="E166" s="1" t="s">
        <v>36</v>
      </c>
      <c r="F166" s="1" t="s">
        <v>36</v>
      </c>
      <c r="G166" s="1" t="s">
        <v>36</v>
      </c>
      <c r="H166" s="56">
        <v>25</v>
      </c>
      <c r="I166" s="56" t="s">
        <v>379</v>
      </c>
      <c r="J166" s="1" t="s">
        <v>36</v>
      </c>
      <c r="K166" s="56">
        <v>4</v>
      </c>
      <c r="L166" s="56">
        <v>0.171</v>
      </c>
      <c r="M166" s="56" t="s">
        <v>40</v>
      </c>
      <c r="N166" s="1"/>
      <c r="O166" s="57">
        <f t="array" ref="O2">_xlfn._xlws.FILTER(Таблица4[Наименование],ISNUMBER(SEARCH('Спецификация для запроса ТУ'!C312,Таблица4[Наименование])),"")</f>
      </c>
    </row>
    <row r="167" spans="1:15" x14ac:dyDescent="0.25">
      <c r="A167" s="1" t="s">
        <v>36</v>
      </c>
      <c r="B167" s="56" t="s">
        <v>387</v>
      </c>
      <c r="C167" s="56" t="s">
        <v>342</v>
      </c>
      <c r="D167" s="1" t="s">
        <v>36</v>
      </c>
      <c r="E167" s="1" t="s">
        <v>36</v>
      </c>
      <c r="F167" s="1" t="s">
        <v>36</v>
      </c>
      <c r="G167" s="1" t="s">
        <v>36</v>
      </c>
      <c r="H167" s="56">
        <v>25</v>
      </c>
      <c r="I167" s="56" t="s">
        <v>379</v>
      </c>
      <c r="J167" s="1" t="s">
        <v>36</v>
      </c>
      <c r="K167" s="56">
        <v>4</v>
      </c>
      <c r="L167" s="56">
        <v>0.171</v>
      </c>
      <c r="M167" s="56" t="s">
        <v>40</v>
      </c>
      <c r="N167" s="1"/>
      <c r="O167" s="57">
        <f t="array" ref="O2">_xlfn._xlws.FILTER(Таблица4[Наименование],ISNUMBER(SEARCH('Спецификация для запроса ТУ'!C312,Таблица4[Наименование])),"")</f>
      </c>
    </row>
    <row r="168" spans="1:15" x14ac:dyDescent="0.25">
      <c r="A168" s="1" t="s">
        <v>36</v>
      </c>
      <c r="B168" s="56" t="s">
        <v>388</v>
      </c>
      <c r="C168" s="56" t="s">
        <v>342</v>
      </c>
      <c r="D168" s="1" t="s">
        <v>36</v>
      </c>
      <c r="E168" s="1" t="s">
        <v>36</v>
      </c>
      <c r="F168" s="1" t="s">
        <v>36</v>
      </c>
      <c r="G168" s="1" t="s">
        <v>36</v>
      </c>
      <c r="H168" s="56">
        <v>25</v>
      </c>
      <c r="I168" s="56" t="s">
        <v>379</v>
      </c>
      <c r="J168" s="1" t="s">
        <v>36</v>
      </c>
      <c r="K168" s="56">
        <v>8</v>
      </c>
      <c r="L168" s="56">
        <v>0.171</v>
      </c>
      <c r="M168" s="56" t="s">
        <v>40</v>
      </c>
      <c r="N168" s="1"/>
      <c r="O168" s="57">
        <f t="array" ref="O2">_xlfn._xlws.FILTER(Таблица4[Наименование],ISNUMBER(SEARCH('Спецификация для запроса ТУ'!C312,Таблица4[Наименование])),"")</f>
      </c>
    </row>
    <row r="169" spans="1:15" x14ac:dyDescent="0.25">
      <c r="A169" s="1" t="s">
        <v>36</v>
      </c>
      <c r="B169" s="56" t="s">
        <v>389</v>
      </c>
      <c r="C169" s="56" t="s">
        <v>342</v>
      </c>
      <c r="D169" s="1" t="s">
        <v>36</v>
      </c>
      <c r="E169" s="1" t="s">
        <v>36</v>
      </c>
      <c r="F169" s="1" t="s">
        <v>36</v>
      </c>
      <c r="G169" s="1" t="s">
        <v>36</v>
      </c>
      <c r="H169" s="56">
        <v>15</v>
      </c>
      <c r="I169" s="56" t="s">
        <v>363</v>
      </c>
      <c r="J169" s="1" t="s">
        <v>36</v>
      </c>
      <c r="K169" s="56">
        <v>4</v>
      </c>
      <c r="L169" s="56">
        <v>0.12</v>
      </c>
      <c r="M169" s="56" t="s">
        <v>40</v>
      </c>
      <c r="N169" s="1"/>
      <c r="O169" s="57">
        <f t="array" ref="O2">_xlfn._xlws.FILTER(Таблица4[Наименование],ISNUMBER(SEARCH('Спецификация для запроса ТУ'!C312,Таблица4[Наименование])),"")</f>
      </c>
    </row>
    <row r="170" spans="1:15" x14ac:dyDescent="0.25">
      <c r="A170" s="1" t="s">
        <v>36</v>
      </c>
      <c r="B170" s="56" t="s">
        <v>390</v>
      </c>
      <c r="C170" s="56" t="s">
        <v>342</v>
      </c>
      <c r="D170" s="1" t="s">
        <v>36</v>
      </c>
      <c r="E170" s="1" t="s">
        <v>36</v>
      </c>
      <c r="F170" s="1" t="s">
        <v>36</v>
      </c>
      <c r="G170" s="1" t="s">
        <v>36</v>
      </c>
      <c r="H170" s="56">
        <v>22</v>
      </c>
      <c r="I170" s="56" t="s">
        <v>366</v>
      </c>
      <c r="J170" s="1" t="s">
        <v>36</v>
      </c>
      <c r="K170" s="56">
        <v>4</v>
      </c>
      <c r="L170" s="56">
        <v>0.12</v>
      </c>
      <c r="M170" s="56" t="s">
        <v>40</v>
      </c>
      <c r="N170" s="1"/>
      <c r="O170" s="57">
        <f t="array" ref="O2">_xlfn._xlws.FILTER(Таблица4[Наименование],ISNUMBER(SEARCH('Спецификация для запроса ТУ'!C312,Таблица4[Наименование])),"")</f>
      </c>
    </row>
    <row r="171" spans="1:15" x14ac:dyDescent="0.25">
      <c r="A171" s="1" t="s">
        <v>36</v>
      </c>
      <c r="B171" s="56" t="s">
        <v>391</v>
      </c>
      <c r="C171" s="56" t="s">
        <v>342</v>
      </c>
      <c r="D171" s="1" t="s">
        <v>36</v>
      </c>
      <c r="E171" s="1" t="s">
        <v>36</v>
      </c>
      <c r="F171" s="1" t="s">
        <v>36</v>
      </c>
      <c r="G171" s="1" t="s">
        <v>36</v>
      </c>
      <c r="H171" s="56">
        <v>22</v>
      </c>
      <c r="I171" s="56" t="s">
        <v>366</v>
      </c>
      <c r="J171" s="1" t="s">
        <v>36</v>
      </c>
      <c r="K171" s="56">
        <v>4</v>
      </c>
      <c r="L171" s="56">
        <v>0.12</v>
      </c>
      <c r="M171" s="56" t="s">
        <v>40</v>
      </c>
      <c r="N171" s="1"/>
      <c r="O171" s="57">
        <f t="array" ref="O2">_xlfn._xlws.FILTER(Таблица4[Наименование],ISNUMBER(SEARCH('Спецификация для запроса ТУ'!C312,Таблица4[Наименование])),"")</f>
      </c>
    </row>
    <row r="172" spans="1:15" x14ac:dyDescent="0.25">
      <c r="A172" s="1" t="s">
        <v>36</v>
      </c>
      <c r="B172" s="56" t="s">
        <v>392</v>
      </c>
      <c r="C172" s="56" t="s">
        <v>342</v>
      </c>
      <c r="D172" s="1" t="s">
        <v>36</v>
      </c>
      <c r="E172" s="1" t="s">
        <v>36</v>
      </c>
      <c r="F172" s="1" t="s">
        <v>36</v>
      </c>
      <c r="G172" s="1" t="s">
        <v>36</v>
      </c>
      <c r="H172" s="56">
        <v>15</v>
      </c>
      <c r="I172" s="56" t="s">
        <v>363</v>
      </c>
      <c r="J172" s="1" t="s">
        <v>36</v>
      </c>
      <c r="K172" s="56">
        <v>2</v>
      </c>
      <c r="L172" s="56">
        <v>0.12</v>
      </c>
      <c r="M172" s="56" t="s">
        <v>40</v>
      </c>
      <c r="N172" s="1"/>
      <c r="O172" s="57">
        <f t="array" ref="O2">_xlfn._xlws.FILTER(Таблица4[Наименование],ISNUMBER(SEARCH('Спецификация для запроса ТУ'!C312,Таблица4[Наименование])),"")</f>
      </c>
    </row>
    <row r="173" spans="1:15" x14ac:dyDescent="0.25">
      <c r="A173" s="1" t="s">
        <v>36</v>
      </c>
      <c r="B173" s="56" t="s">
        <v>393</v>
      </c>
      <c r="C173" s="56" t="s">
        <v>342</v>
      </c>
      <c r="D173" s="1" t="s">
        <v>36</v>
      </c>
      <c r="E173" s="1" t="s">
        <v>36</v>
      </c>
      <c r="F173" s="1" t="s">
        <v>36</v>
      </c>
      <c r="G173" s="1" t="s">
        <v>36</v>
      </c>
      <c r="H173" s="56">
        <v>15</v>
      </c>
      <c r="I173" s="56" t="s">
        <v>363</v>
      </c>
      <c r="J173" s="1" t="s">
        <v>36</v>
      </c>
      <c r="K173" s="56">
        <v>2</v>
      </c>
      <c r="L173" s="56">
        <v>0.12</v>
      </c>
      <c r="M173" s="56" t="s">
        <v>40</v>
      </c>
      <c r="N173" s="1"/>
      <c r="O173" s="57">
        <f t="array" ref="O2">_xlfn._xlws.FILTER(Таблица4[Наименование],ISNUMBER(SEARCH('Спецификация для запроса ТУ'!C312,Таблица4[Наименование])),"")</f>
      </c>
    </row>
    <row r="174" spans="1:15" x14ac:dyDescent="0.25">
      <c r="A174" s="1" t="s">
        <v>36</v>
      </c>
      <c r="B174" s="56" t="s">
        <v>394</v>
      </c>
      <c r="C174" s="56" t="s">
        <v>342</v>
      </c>
      <c r="D174" s="1" t="s">
        <v>36</v>
      </c>
      <c r="E174" s="1" t="s">
        <v>36</v>
      </c>
      <c r="F174" s="1" t="s">
        <v>36</v>
      </c>
      <c r="G174" s="1" t="s">
        <v>36</v>
      </c>
      <c r="H174" s="56">
        <v>15</v>
      </c>
      <c r="I174" s="56" t="s">
        <v>363</v>
      </c>
      <c r="J174" s="1" t="s">
        <v>36</v>
      </c>
      <c r="K174" s="56">
        <v>2</v>
      </c>
      <c r="L174" s="56">
        <v>0.12</v>
      </c>
      <c r="M174" s="56" t="s">
        <v>40</v>
      </c>
      <c r="N174" s="1"/>
      <c r="O174" s="57">
        <f t="array" ref="O2">_xlfn._xlws.FILTER(Таблица4[Наименование],ISNUMBER(SEARCH('Спецификация для запроса ТУ'!C312,Таблица4[Наименование])),"")</f>
      </c>
    </row>
    <row r="175" spans="1:15" x14ac:dyDescent="0.25">
      <c r="A175" s="1" t="s">
        <v>36</v>
      </c>
      <c r="B175" s="56" t="s">
        <v>395</v>
      </c>
      <c r="C175" s="56" t="s">
        <v>342</v>
      </c>
      <c r="D175" s="1" t="s">
        <v>36</v>
      </c>
      <c r="E175" s="1" t="s">
        <v>36</v>
      </c>
      <c r="F175" s="1" t="s">
        <v>36</v>
      </c>
      <c r="G175" s="1" t="s">
        <v>36</v>
      </c>
      <c r="H175" s="56">
        <v>15</v>
      </c>
      <c r="I175" s="56" t="s">
        <v>363</v>
      </c>
      <c r="J175" s="1" t="s">
        <v>36</v>
      </c>
      <c r="K175" s="56">
        <v>2</v>
      </c>
      <c r="L175" s="56">
        <v>0.12</v>
      </c>
      <c r="M175" s="56" t="s">
        <v>40</v>
      </c>
      <c r="N175" s="1"/>
      <c r="O175" s="57">
        <f t="array" ref="O2">_xlfn._xlws.FILTER(Таблица4[Наименование],ISNUMBER(SEARCH('Спецификация для запроса ТУ'!C312,Таблица4[Наименование])),"")</f>
      </c>
    </row>
    <row r="176" spans="1:15" x14ac:dyDescent="0.25">
      <c r="A176" s="1" t="s">
        <v>36</v>
      </c>
      <c r="B176" s="56" t="s">
        <v>396</v>
      </c>
      <c r="C176" s="56" t="s">
        <v>342</v>
      </c>
      <c r="D176" s="1" t="s">
        <v>36</v>
      </c>
      <c r="E176" s="1" t="s">
        <v>36</v>
      </c>
      <c r="F176" s="1" t="s">
        <v>36</v>
      </c>
      <c r="G176" s="1" t="s">
        <v>36</v>
      </c>
      <c r="H176" s="56">
        <v>22</v>
      </c>
      <c r="I176" s="56" t="s">
        <v>366</v>
      </c>
      <c r="J176" s="1" t="s">
        <v>36</v>
      </c>
      <c r="K176" s="56">
        <v>4</v>
      </c>
      <c r="L176" s="56">
        <v>0.12</v>
      </c>
      <c r="M176" s="56" t="s">
        <v>40</v>
      </c>
      <c r="N176" s="1"/>
      <c r="O176" s="57">
        <f t="array" ref="O2">_xlfn._xlws.FILTER(Таблица4[Наименование],ISNUMBER(SEARCH('Спецификация для запроса ТУ'!C312,Таблица4[Наименование])),"")</f>
      </c>
    </row>
    <row r="177" spans="1:15" x14ac:dyDescent="0.25">
      <c r="A177" s="1" t="s">
        <v>36</v>
      </c>
      <c r="B177" s="56" t="s">
        <v>397</v>
      </c>
      <c r="C177" s="56" t="s">
        <v>342</v>
      </c>
      <c r="D177" s="1" t="s">
        <v>36</v>
      </c>
      <c r="E177" s="1" t="s">
        <v>36</v>
      </c>
      <c r="F177" s="1" t="s">
        <v>36</v>
      </c>
      <c r="G177" s="1" t="s">
        <v>36</v>
      </c>
      <c r="H177" s="56">
        <v>15</v>
      </c>
      <c r="I177" s="56" t="s">
        <v>368</v>
      </c>
      <c r="J177" s="1" t="s">
        <v>36</v>
      </c>
      <c r="K177" s="56">
        <v>2</v>
      </c>
      <c r="L177" s="56">
        <v>0.12</v>
      </c>
      <c r="M177" s="56" t="s">
        <v>40</v>
      </c>
      <c r="N177" s="1"/>
      <c r="O177" s="57">
        <f t="array" ref="O2">_xlfn._xlws.FILTER(Таблица4[Наименование],ISNUMBER(SEARCH('Спецификация для запроса ТУ'!C312,Таблица4[Наименование])),"")</f>
      </c>
    </row>
    <row r="178" spans="1:15" x14ac:dyDescent="0.25">
      <c r="A178" s="1" t="s">
        <v>36</v>
      </c>
      <c r="B178" s="56" t="s">
        <v>398</v>
      </c>
      <c r="C178" s="56" t="s">
        <v>342</v>
      </c>
      <c r="D178" s="1" t="s">
        <v>36</v>
      </c>
      <c r="E178" s="1" t="s">
        <v>36</v>
      </c>
      <c r="F178" s="1" t="s">
        <v>36</v>
      </c>
      <c r="G178" s="1" t="s">
        <v>36</v>
      </c>
      <c r="H178" s="56">
        <v>15</v>
      </c>
      <c r="I178" s="56" t="s">
        <v>368</v>
      </c>
      <c r="J178" s="1" t="s">
        <v>36</v>
      </c>
      <c r="K178" s="56">
        <v>2</v>
      </c>
      <c r="L178" s="56">
        <v>0.12</v>
      </c>
      <c r="M178" s="56" t="s">
        <v>40</v>
      </c>
      <c r="N178" s="1"/>
      <c r="O178" s="57">
        <f t="array" ref="O2">_xlfn._xlws.FILTER(Таблица4[Наименование],ISNUMBER(SEARCH('Спецификация для запроса ТУ'!C312,Таблица4[Наименование])),"")</f>
      </c>
    </row>
    <row r="179" spans="1:15" x14ac:dyDescent="0.25">
      <c r="A179" s="1" t="s">
        <v>36</v>
      </c>
      <c r="B179" s="56" t="s">
        <v>399</v>
      </c>
      <c r="C179" s="56" t="s">
        <v>342</v>
      </c>
      <c r="D179" s="1" t="s">
        <v>36</v>
      </c>
      <c r="E179" s="1" t="s">
        <v>36</v>
      </c>
      <c r="F179" s="1" t="s">
        <v>36</v>
      </c>
      <c r="G179" s="1" t="s">
        <v>36</v>
      </c>
      <c r="H179" s="56">
        <v>15</v>
      </c>
      <c r="I179" s="56" t="s">
        <v>368</v>
      </c>
      <c r="J179" s="1" t="s">
        <v>36</v>
      </c>
      <c r="K179" s="56">
        <v>2</v>
      </c>
      <c r="L179" s="56">
        <v>0.12</v>
      </c>
      <c r="M179" s="56" t="s">
        <v>40</v>
      </c>
      <c r="N179" s="1"/>
      <c r="O179" s="57">
        <f t="array" ref="O2">_xlfn._xlws.FILTER(Таблица4[Наименование],ISNUMBER(SEARCH('Спецификация для запроса ТУ'!C312,Таблица4[Наименование])),"")</f>
      </c>
    </row>
    <row r="180" spans="1:15" x14ac:dyDescent="0.25">
      <c r="A180" s="1" t="s">
        <v>36</v>
      </c>
      <c r="B180" s="56" t="s">
        <v>400</v>
      </c>
      <c r="C180" s="56" t="s">
        <v>342</v>
      </c>
      <c r="D180" s="1" t="s">
        <v>36</v>
      </c>
      <c r="E180" s="1" t="s">
        <v>36</v>
      </c>
      <c r="F180" s="1" t="s">
        <v>36</v>
      </c>
      <c r="G180" s="1" t="s">
        <v>36</v>
      </c>
      <c r="H180" s="56">
        <v>15.7</v>
      </c>
      <c r="I180" s="56" t="s">
        <v>401</v>
      </c>
      <c r="J180" s="1" t="s">
        <v>36</v>
      </c>
      <c r="K180" s="56">
        <v>4</v>
      </c>
      <c r="L180" s="56">
        <v>0.138</v>
      </c>
      <c r="M180" s="56" t="s">
        <v>40</v>
      </c>
      <c r="N180" s="1"/>
      <c r="O180" s="57">
        <f t="array" ref="O2">_xlfn._xlws.FILTER(Таблица4[Наименование],ISNUMBER(SEARCH('Спецификация для запроса ТУ'!C312,Таблица4[Наименование])),"")</f>
      </c>
    </row>
    <row r="181" spans="1:15" x14ac:dyDescent="0.25">
      <c r="A181" s="1" t="s">
        <v>36</v>
      </c>
      <c r="B181" s="56" t="s">
        <v>402</v>
      </c>
      <c r="C181" s="56" t="s">
        <v>342</v>
      </c>
      <c r="D181" s="1" t="s">
        <v>36</v>
      </c>
      <c r="E181" s="1" t="s">
        <v>36</v>
      </c>
      <c r="F181" s="1" t="s">
        <v>36</v>
      </c>
      <c r="G181" s="1" t="s">
        <v>36</v>
      </c>
      <c r="H181" s="56">
        <v>31</v>
      </c>
      <c r="I181" s="56" t="s">
        <v>403</v>
      </c>
      <c r="J181" s="1" t="s">
        <v>36</v>
      </c>
      <c r="K181" s="56">
        <v>4</v>
      </c>
      <c r="L181" s="56">
        <v>0.213</v>
      </c>
      <c r="M181" s="56" t="s">
        <v>404</v>
      </c>
      <c r="N181" s="1"/>
      <c r="O181" s="57">
        <f t="array" ref="O2">_xlfn._xlws.FILTER(Таблица4[Наименование],ISNUMBER(SEARCH('Спецификация для запроса ТУ'!C312,Таблица4[Наименование])),"")</f>
      </c>
    </row>
    <row r="182" spans="1:15" x14ac:dyDescent="0.25">
      <c r="A182" s="1" t="s">
        <v>36</v>
      </c>
      <c r="B182" s="56" t="s">
        <v>405</v>
      </c>
      <c r="C182" s="56" t="s">
        <v>342</v>
      </c>
      <c r="D182" s="1" t="s">
        <v>36</v>
      </c>
      <c r="E182" s="1" t="s">
        <v>36</v>
      </c>
      <c r="F182" s="1" t="s">
        <v>36</v>
      </c>
      <c r="G182" s="1" t="s">
        <v>36</v>
      </c>
      <c r="H182" s="56">
        <v>25</v>
      </c>
      <c r="I182" s="56" t="s">
        <v>406</v>
      </c>
      <c r="J182" s="1" t="s">
        <v>36</v>
      </c>
      <c r="K182" s="56">
        <v>6</v>
      </c>
      <c r="L182" s="56">
        <v>0.276</v>
      </c>
      <c r="M182" s="56" t="s">
        <v>407</v>
      </c>
      <c r="N182" s="1"/>
      <c r="O182" s="57">
        <f t="array" ref="O2">_xlfn._xlws.FILTER(Таблица4[Наименование],ISNUMBER(SEARCH('Спецификация для запроса ТУ'!C312,Таблица4[Наименование])),"")</f>
      </c>
    </row>
    <row r="183" spans="1:15" x14ac:dyDescent="0.25">
      <c r="A183" s="1" t="s">
        <v>36</v>
      </c>
      <c r="B183" s="56" t="s">
        <v>408</v>
      </c>
      <c r="C183" s="56" t="s">
        <v>342</v>
      </c>
      <c r="D183" s="1" t="s">
        <v>36</v>
      </c>
      <c r="E183" s="1" t="s">
        <v>36</v>
      </c>
      <c r="F183" s="1" t="s">
        <v>36</v>
      </c>
      <c r="G183" s="1" t="s">
        <v>36</v>
      </c>
      <c r="H183" s="56">
        <v>15.5</v>
      </c>
      <c r="I183" s="56" t="s">
        <v>409</v>
      </c>
      <c r="J183" s="1" t="s">
        <v>36</v>
      </c>
      <c r="K183" s="56">
        <v>2</v>
      </c>
      <c r="L183" s="56">
        <v>0.267</v>
      </c>
      <c r="M183" s="56" t="s">
        <v>40</v>
      </c>
      <c r="N183" s="1"/>
      <c r="O183" s="57">
        <f t="array" ref="O2">_xlfn._xlws.FILTER(Таблица4[Наименование],ISNUMBER(SEARCH('Спецификация для запроса ТУ'!C312,Таблица4[Наименование])),"")</f>
      </c>
    </row>
    <row r="184" spans="1:15" x14ac:dyDescent="0.25">
      <c r="A184" s="1" t="s">
        <v>36</v>
      </c>
      <c r="B184" s="56" t="s">
        <v>410</v>
      </c>
      <c r="C184" s="56" t="s">
        <v>342</v>
      </c>
      <c r="D184" s="1" t="s">
        <v>36</v>
      </c>
      <c r="E184" s="1" t="s">
        <v>36</v>
      </c>
      <c r="F184" s="1" t="s">
        <v>36</v>
      </c>
      <c r="G184" s="1" t="s">
        <v>36</v>
      </c>
      <c r="H184" s="56">
        <v>25</v>
      </c>
      <c r="I184" s="56" t="s">
        <v>406</v>
      </c>
      <c r="J184" s="1" t="s">
        <v>36</v>
      </c>
      <c r="K184" s="56">
        <v>6</v>
      </c>
      <c r="L184" s="56">
        <v>0.276</v>
      </c>
      <c r="M184" s="56" t="s">
        <v>40</v>
      </c>
      <c r="N184" s="1"/>
      <c r="O184" s="57">
        <f t="array" ref="O2">_xlfn._xlws.FILTER(Таблица4[Наименование],ISNUMBER(SEARCH('Спецификация для запроса ТУ'!C312,Таблица4[Наименование])),"")</f>
      </c>
    </row>
    <row r="185" spans="1:15" x14ac:dyDescent="0.25">
      <c r="A185" s="1" t="s">
        <v>36</v>
      </c>
      <c r="B185" s="56" t="s">
        <v>411</v>
      </c>
      <c r="C185" s="56" t="s">
        <v>342</v>
      </c>
      <c r="D185" s="1" t="s">
        <v>36</v>
      </c>
      <c r="E185" s="1" t="s">
        <v>36</v>
      </c>
      <c r="F185" s="1" t="s">
        <v>36</v>
      </c>
      <c r="G185" s="1" t="s">
        <v>36</v>
      </c>
      <c r="H185" s="56">
        <v>25</v>
      </c>
      <c r="I185" s="56" t="s">
        <v>406</v>
      </c>
      <c r="J185" s="1" t="s">
        <v>36</v>
      </c>
      <c r="K185" s="56">
        <v>6</v>
      </c>
      <c r="L185" s="56">
        <v>0.276</v>
      </c>
      <c r="M185" s="56" t="s">
        <v>40</v>
      </c>
      <c r="N185" s="1"/>
      <c r="O185" s="57">
        <f t="array" ref="O2">_xlfn._xlws.FILTER(Таблица4[Наименование],ISNUMBER(SEARCH('Спецификация для запроса ТУ'!C312,Таблица4[Наименование])),"")</f>
      </c>
    </row>
    <row r="186" spans="1:15" x14ac:dyDescent="0.25">
      <c r="A186" s="1" t="s">
        <v>36</v>
      </c>
      <c r="B186" s="56" t="s">
        <v>412</v>
      </c>
      <c r="C186" s="56" t="s">
        <v>342</v>
      </c>
      <c r="D186" s="1" t="s">
        <v>36</v>
      </c>
      <c r="E186" s="1" t="s">
        <v>36</v>
      </c>
      <c r="F186" s="1" t="s">
        <v>36</v>
      </c>
      <c r="G186" s="1" t="s">
        <v>36</v>
      </c>
      <c r="H186" s="56">
        <v>25</v>
      </c>
      <c r="I186" s="56" t="s">
        <v>406</v>
      </c>
      <c r="J186" s="1" t="s">
        <v>36</v>
      </c>
      <c r="K186" s="56">
        <v>6</v>
      </c>
      <c r="L186" s="56">
        <v>0.276</v>
      </c>
      <c r="M186" s="56" t="s">
        <v>40</v>
      </c>
      <c r="N186" s="1"/>
      <c r="O186" s="57">
        <f t="array" ref="O2">_xlfn._xlws.FILTER(Таблица4[Наименование],ISNUMBER(SEARCH('Спецификация для запроса ТУ'!C312,Таблица4[Наименование])),"")</f>
      </c>
    </row>
    <row r="187" spans="1:15" x14ac:dyDescent="0.25">
      <c r="A187" s="1" t="s">
        <v>36</v>
      </c>
      <c r="B187" s="56" t="s">
        <v>413</v>
      </c>
      <c r="C187" s="56" t="s">
        <v>342</v>
      </c>
      <c r="D187" s="1" t="s">
        <v>36</v>
      </c>
      <c r="E187" s="1" t="s">
        <v>36</v>
      </c>
      <c r="F187" s="1" t="s">
        <v>36</v>
      </c>
      <c r="G187" s="1" t="s">
        <v>36</v>
      </c>
      <c r="H187" s="56">
        <v>25</v>
      </c>
      <c r="I187" s="56" t="s">
        <v>406</v>
      </c>
      <c r="J187" s="1" t="s">
        <v>36</v>
      </c>
      <c r="K187" s="56">
        <v>6</v>
      </c>
      <c r="L187" s="56">
        <v>0.276</v>
      </c>
      <c r="M187" s="56" t="s">
        <v>40</v>
      </c>
      <c r="N187" s="1"/>
      <c r="O187" s="57">
        <f t="array" ref="O2">_xlfn._xlws.FILTER(Таблица4[Наименование],ISNUMBER(SEARCH('Спецификация для запроса ТУ'!C312,Таблица4[Наименование])),"")</f>
      </c>
    </row>
    <row r="188" spans="1:15" x14ac:dyDescent="0.25">
      <c r="A188" s="1" t="s">
        <v>36</v>
      </c>
      <c r="B188" s="56" t="s">
        <v>414</v>
      </c>
      <c r="C188" s="56" t="s">
        <v>342</v>
      </c>
      <c r="D188" s="1" t="s">
        <v>36</v>
      </c>
      <c r="E188" s="1" t="s">
        <v>36</v>
      </c>
      <c r="F188" s="1" t="s">
        <v>36</v>
      </c>
      <c r="G188" s="1" t="s">
        <v>36</v>
      </c>
      <c r="H188" s="56">
        <v>25</v>
      </c>
      <c r="I188" s="56" t="s">
        <v>406</v>
      </c>
      <c r="J188" s="1" t="s">
        <v>36</v>
      </c>
      <c r="K188" s="56">
        <v>6</v>
      </c>
      <c r="L188" s="56">
        <v>0.276</v>
      </c>
      <c r="M188" s="56" t="s">
        <v>40</v>
      </c>
      <c r="N188" s="1"/>
      <c r="O188" s="57">
        <f t="array" ref="O2">_xlfn._xlws.FILTER(Таблица4[Наименование],ISNUMBER(SEARCH('Спецификация для запроса ТУ'!C312,Таблица4[Наименование])),"")</f>
      </c>
    </row>
    <row r="189" spans="1:15" x14ac:dyDescent="0.25">
      <c r="A189" s="1" t="s">
        <v>36</v>
      </c>
      <c r="B189" s="56" t="s">
        <v>415</v>
      </c>
      <c r="C189" s="56" t="s">
        <v>342</v>
      </c>
      <c r="D189" s="1" t="s">
        <v>36</v>
      </c>
      <c r="E189" s="1" t="s">
        <v>36</v>
      </c>
      <c r="F189" s="1" t="s">
        <v>36</v>
      </c>
      <c r="G189" s="1" t="s">
        <v>36</v>
      </c>
      <c r="H189" s="56">
        <v>25</v>
      </c>
      <c r="I189" s="56" t="s">
        <v>406</v>
      </c>
      <c r="J189" s="1" t="s">
        <v>36</v>
      </c>
      <c r="K189" s="56">
        <v>6</v>
      </c>
      <c r="L189" s="56">
        <v>0.276</v>
      </c>
      <c r="M189" s="56" t="s">
        <v>40</v>
      </c>
      <c r="N189" s="1"/>
      <c r="O189" s="57">
        <f t="array" ref="O2">_xlfn._xlws.FILTER(Таблица4[Наименование],ISNUMBER(SEARCH('Спецификация для запроса ТУ'!C312,Таблица4[Наименование])),"")</f>
      </c>
    </row>
    <row r="190" spans="1:15" x14ac:dyDescent="0.25">
      <c r="A190" s="1" t="s">
        <v>36</v>
      </c>
      <c r="B190" s="56" t="s">
        <v>416</v>
      </c>
      <c r="C190" s="56" t="s">
        <v>342</v>
      </c>
      <c r="D190" s="1" t="s">
        <v>36</v>
      </c>
      <c r="E190" s="1" t="s">
        <v>36</v>
      </c>
      <c r="F190" s="1" t="s">
        <v>36</v>
      </c>
      <c r="G190" s="1" t="s">
        <v>36</v>
      </c>
      <c r="H190" s="56">
        <v>25</v>
      </c>
      <c r="I190" s="56" t="s">
        <v>406</v>
      </c>
      <c r="J190" s="1" t="s">
        <v>36</v>
      </c>
      <c r="K190" s="56">
        <v>6</v>
      </c>
      <c r="L190" s="56">
        <v>0.276</v>
      </c>
      <c r="M190" s="56" t="s">
        <v>40</v>
      </c>
      <c r="N190" s="1"/>
      <c r="O190" s="57">
        <f t="array" ref="O2">_xlfn._xlws.FILTER(Таблица4[Наименование],ISNUMBER(SEARCH('Спецификация для запроса ТУ'!C312,Таблица4[Наименование])),"")</f>
      </c>
    </row>
    <row r="191" spans="1:15" x14ac:dyDescent="0.25">
      <c r="A191" s="1" t="s">
        <v>36</v>
      </c>
      <c r="B191" s="56" t="s">
        <v>417</v>
      </c>
      <c r="C191" s="56" t="s">
        <v>342</v>
      </c>
      <c r="D191" s="1" t="s">
        <v>36</v>
      </c>
      <c r="E191" s="1" t="s">
        <v>36</v>
      </c>
      <c r="F191" s="1" t="s">
        <v>36</v>
      </c>
      <c r="G191" s="1" t="s">
        <v>36</v>
      </c>
      <c r="H191" s="56">
        <v>25</v>
      </c>
      <c r="I191" s="56" t="s">
        <v>406</v>
      </c>
      <c r="J191" s="1" t="s">
        <v>36</v>
      </c>
      <c r="K191" s="56">
        <v>6</v>
      </c>
      <c r="L191" s="56">
        <v>0.276</v>
      </c>
      <c r="M191" s="56" t="s">
        <v>40</v>
      </c>
      <c r="N191" s="1"/>
      <c r="O191" s="57">
        <f t="array" ref="O2">_xlfn._xlws.FILTER(Таблица4[Наименование],ISNUMBER(SEARCH('Спецификация для запроса ТУ'!C312,Таблица4[Наименование])),"")</f>
      </c>
    </row>
    <row r="192" spans="1:15" x14ac:dyDescent="0.25">
      <c r="A192" s="1" t="s">
        <v>36</v>
      </c>
      <c r="B192" s="56" t="s">
        <v>418</v>
      </c>
      <c r="C192" s="56" t="s">
        <v>342</v>
      </c>
      <c r="D192" s="1" t="s">
        <v>36</v>
      </c>
      <c r="E192" s="1" t="s">
        <v>36</v>
      </c>
      <c r="F192" s="1" t="s">
        <v>36</v>
      </c>
      <c r="G192" s="1" t="s">
        <v>36</v>
      </c>
      <c r="H192" s="56">
        <v>25</v>
      </c>
      <c r="I192" s="56" t="s">
        <v>406</v>
      </c>
      <c r="J192" s="1" t="s">
        <v>36</v>
      </c>
      <c r="K192" s="56">
        <v>6</v>
      </c>
      <c r="L192" s="56">
        <v>0.276</v>
      </c>
      <c r="M192" s="56" t="s">
        <v>40</v>
      </c>
      <c r="N192" s="1"/>
      <c r="O192" s="57">
        <f t="array" ref="O2">_xlfn._xlws.FILTER(Таблица4[Наименование],ISNUMBER(SEARCH('Спецификация для запроса ТУ'!C312,Таблица4[Наименование])),"")</f>
      </c>
    </row>
    <row r="193" spans="1:15" x14ac:dyDescent="0.25">
      <c r="A193" s="1" t="s">
        <v>36</v>
      </c>
      <c r="B193" s="56" t="s">
        <v>419</v>
      </c>
      <c r="C193" s="56" t="s">
        <v>342</v>
      </c>
      <c r="D193" s="1" t="s">
        <v>36</v>
      </c>
      <c r="E193" s="1" t="s">
        <v>36</v>
      </c>
      <c r="F193" s="1" t="s">
        <v>36</v>
      </c>
      <c r="G193" s="1" t="s">
        <v>36</v>
      </c>
      <c r="H193" s="56">
        <v>25</v>
      </c>
      <c r="I193" s="56" t="s">
        <v>406</v>
      </c>
      <c r="J193" s="1" t="s">
        <v>36</v>
      </c>
      <c r="K193" s="56">
        <v>8</v>
      </c>
      <c r="L193" s="56">
        <v>0.276</v>
      </c>
      <c r="M193" s="56" t="s">
        <v>40</v>
      </c>
      <c r="N193" s="1"/>
      <c r="O193" s="57">
        <f t="array" ref="O2">_xlfn._xlws.FILTER(Таблица4[Наименование],ISNUMBER(SEARCH('Спецификация для запроса ТУ'!C312,Таблица4[Наименование])),"")</f>
      </c>
    </row>
    <row r="194" spans="1:15" x14ac:dyDescent="0.25">
      <c r="A194" s="1" t="s">
        <v>36</v>
      </c>
      <c r="B194" s="56" t="s">
        <v>420</v>
      </c>
      <c r="C194" s="56" t="s">
        <v>342</v>
      </c>
      <c r="D194" s="1" t="s">
        <v>36</v>
      </c>
      <c r="E194" s="1" t="s">
        <v>36</v>
      </c>
      <c r="F194" s="1" t="s">
        <v>36</v>
      </c>
      <c r="G194" s="1" t="s">
        <v>36</v>
      </c>
      <c r="H194" s="56">
        <v>30</v>
      </c>
      <c r="I194" s="56" t="s">
        <v>421</v>
      </c>
      <c r="J194" s="1" t="s">
        <v>36</v>
      </c>
      <c r="K194" s="56">
        <v>4</v>
      </c>
      <c r="L194" s="56">
        <v>0.172</v>
      </c>
      <c r="M194" s="56" t="s">
        <v>40</v>
      </c>
      <c r="N194" s="1"/>
      <c r="O194" s="57">
        <f t="array" ref="O2">_xlfn._xlws.FILTER(Таблица4[Наименование],ISNUMBER(SEARCH('Спецификация для запроса ТУ'!C312,Таблица4[Наименование])),"")</f>
      </c>
    </row>
    <row r="195" spans="1:15" x14ac:dyDescent="0.25">
      <c r="A195" s="1" t="s">
        <v>36</v>
      </c>
      <c r="B195" s="56" t="s">
        <v>422</v>
      </c>
      <c r="C195" s="56" t="s">
        <v>342</v>
      </c>
      <c r="D195" s="1" t="s">
        <v>36</v>
      </c>
      <c r="E195" s="1" t="s">
        <v>36</v>
      </c>
      <c r="F195" s="1" t="s">
        <v>36</v>
      </c>
      <c r="G195" s="1" t="s">
        <v>36</v>
      </c>
      <c r="H195" s="56">
        <v>16</v>
      </c>
      <c r="I195" s="56" t="s">
        <v>423</v>
      </c>
      <c r="J195" s="1" t="s">
        <v>36</v>
      </c>
      <c r="K195" s="56">
        <v>2</v>
      </c>
      <c r="L195" s="56">
        <v>0.089</v>
      </c>
      <c r="M195" s="56" t="s">
        <v>40</v>
      </c>
      <c r="N195" s="1"/>
      <c r="O195" s="57">
        <f t="array" ref="O2">_xlfn._xlws.FILTER(Таблица4[Наименование],ISNUMBER(SEARCH('Спецификация для запроса ТУ'!C312,Таблица4[Наименование])),"")</f>
      </c>
    </row>
    <row r="196" spans="1:15" x14ac:dyDescent="0.25">
      <c r="A196" s="1" t="s">
        <v>36</v>
      </c>
      <c r="B196" s="56" t="s">
        <v>424</v>
      </c>
      <c r="C196" s="56" t="s">
        <v>342</v>
      </c>
      <c r="D196" s="1" t="s">
        <v>36</v>
      </c>
      <c r="E196" s="1" t="s">
        <v>36</v>
      </c>
      <c r="F196" s="1" t="s">
        <v>36</v>
      </c>
      <c r="G196" s="1" t="s">
        <v>36</v>
      </c>
      <c r="H196" s="56">
        <v>20</v>
      </c>
      <c r="I196" s="56" t="s">
        <v>425</v>
      </c>
      <c r="J196" s="1" t="s">
        <v>36</v>
      </c>
      <c r="K196" s="56">
        <v>2</v>
      </c>
      <c r="L196" s="56">
        <v>0.262</v>
      </c>
      <c r="M196" s="56" t="s">
        <v>40</v>
      </c>
      <c r="N196" s="1"/>
      <c r="O196" s="57">
        <f t="array" ref="O2">_xlfn._xlws.FILTER(Таблица4[Наименование],ISNUMBER(SEARCH('Спецификация для запроса ТУ'!C312,Таблица4[Наименование])),"")</f>
      </c>
    </row>
    <row r="197" spans="1:15" x14ac:dyDescent="0.25">
      <c r="A197" s="1" t="s">
        <v>36</v>
      </c>
      <c r="B197" s="56" t="s">
        <v>426</v>
      </c>
      <c r="C197" s="56" t="s">
        <v>342</v>
      </c>
      <c r="D197" s="1" t="s">
        <v>36</v>
      </c>
      <c r="E197" s="1" t="s">
        <v>36</v>
      </c>
      <c r="F197" s="1" t="s">
        <v>36</v>
      </c>
      <c r="G197" s="1" t="s">
        <v>36</v>
      </c>
      <c r="H197" s="56">
        <v>17.3</v>
      </c>
      <c r="I197" s="56" t="s">
        <v>427</v>
      </c>
      <c r="J197" s="1" t="s">
        <v>36</v>
      </c>
      <c r="K197" s="56">
        <v>2</v>
      </c>
      <c r="L197" s="56">
        <v>0.201</v>
      </c>
      <c r="M197" s="56" t="s">
        <v>40</v>
      </c>
      <c r="N197" s="1"/>
      <c r="O197" s="57">
        <f t="array" ref="O2">_xlfn._xlws.FILTER(Таблица4[Наименование],ISNUMBER(SEARCH('Спецификация для запроса ТУ'!C312,Таблица4[Наименование])),"")</f>
      </c>
    </row>
    <row r="198" spans="1:15" x14ac:dyDescent="0.25">
      <c r="A198" s="1" t="s">
        <v>36</v>
      </c>
      <c r="B198" s="56" t="s">
        <v>428</v>
      </c>
      <c r="C198" s="56" t="s">
        <v>342</v>
      </c>
      <c r="D198" s="1" t="s">
        <v>36</v>
      </c>
      <c r="E198" s="1" t="s">
        <v>36</v>
      </c>
      <c r="F198" s="1" t="s">
        <v>36</v>
      </c>
      <c r="G198" s="1" t="s">
        <v>36</v>
      </c>
      <c r="H198" s="56">
        <v>17</v>
      </c>
      <c r="I198" s="56" t="s">
        <v>429</v>
      </c>
      <c r="J198" s="1" t="s">
        <v>36</v>
      </c>
      <c r="K198" s="56">
        <v>2</v>
      </c>
      <c r="L198" s="56">
        <v>0.157</v>
      </c>
      <c r="M198" s="56" t="s">
        <v>40</v>
      </c>
      <c r="N198" s="1"/>
      <c r="O198" s="57">
        <f t="array" ref="O2">_xlfn._xlws.FILTER(Таблица4[Наименование],ISNUMBER(SEARCH('Спецификация для запроса ТУ'!C312,Таблица4[Наименование])),"")</f>
      </c>
    </row>
    <row r="199" spans="1:15" x14ac:dyDescent="0.25">
      <c r="A199" s="1" t="s">
        <v>36</v>
      </c>
      <c r="B199" s="56" t="s">
        <v>430</v>
      </c>
      <c r="C199" s="56" t="s">
        <v>342</v>
      </c>
      <c r="D199" s="1" t="s">
        <v>36</v>
      </c>
      <c r="E199" s="1" t="s">
        <v>36</v>
      </c>
      <c r="F199" s="1" t="s">
        <v>36</v>
      </c>
      <c r="G199" s="1" t="s">
        <v>36</v>
      </c>
      <c r="H199" s="56">
        <v>17.3</v>
      </c>
      <c r="I199" s="56" t="s">
        <v>431</v>
      </c>
      <c r="J199" s="1" t="s">
        <v>36</v>
      </c>
      <c r="K199" s="56">
        <v>2</v>
      </c>
      <c r="L199" s="56">
        <v>0.168</v>
      </c>
      <c r="M199" s="56" t="s">
        <v>40</v>
      </c>
      <c r="N199" s="1"/>
      <c r="O199" s="57">
        <f t="array" ref="O2">_xlfn._xlws.FILTER(Таблица4[Наименование],ISNUMBER(SEARCH('Спецификация для запроса ТУ'!C312,Таблица4[Наименование])),"")</f>
      </c>
    </row>
    <row r="200" spans="1:15" x14ac:dyDescent="0.25">
      <c r="A200" s="1" t="s">
        <v>36</v>
      </c>
      <c r="B200" s="56" t="s">
        <v>432</v>
      </c>
      <c r="C200" s="56" t="s">
        <v>342</v>
      </c>
      <c r="D200" s="1" t="s">
        <v>36</v>
      </c>
      <c r="E200" s="1" t="s">
        <v>36</v>
      </c>
      <c r="F200" s="1" t="s">
        <v>36</v>
      </c>
      <c r="G200" s="1" t="s">
        <v>36</v>
      </c>
      <c r="H200" s="56">
        <v>27</v>
      </c>
      <c r="I200" s="56" t="s">
        <v>433</v>
      </c>
      <c r="J200" s="1" t="s">
        <v>36</v>
      </c>
      <c r="K200" s="56">
        <v>4</v>
      </c>
      <c r="L200" s="56">
        <v>0.178</v>
      </c>
      <c r="M200" s="56" t="s">
        <v>40</v>
      </c>
      <c r="N200" s="1"/>
      <c r="O200" s="57">
        <f t="array" ref="O2">_xlfn._xlws.FILTER(Таблица4[Наименование],ISNUMBER(SEARCH('Спецификация для запроса ТУ'!C312,Таблица4[Наименование])),"")</f>
      </c>
    </row>
    <row r="201" spans="1:15" x14ac:dyDescent="0.25">
      <c r="A201" s="1" t="s">
        <v>36</v>
      </c>
      <c r="B201" s="56" t="s">
        <v>434</v>
      </c>
      <c r="C201" s="56" t="s">
        <v>342</v>
      </c>
      <c r="D201" s="1" t="s">
        <v>36</v>
      </c>
      <c r="E201" s="1" t="s">
        <v>36</v>
      </c>
      <c r="F201" s="1" t="s">
        <v>36</v>
      </c>
      <c r="G201" s="1" t="s">
        <v>36</v>
      </c>
      <c r="H201" s="56">
        <v>26</v>
      </c>
      <c r="I201" s="56" t="s">
        <v>435</v>
      </c>
      <c r="J201" s="1" t="s">
        <v>36</v>
      </c>
      <c r="K201" s="56">
        <v>4</v>
      </c>
      <c r="L201" s="56">
        <v>0.291</v>
      </c>
      <c r="M201" s="56" t="s">
        <v>40</v>
      </c>
      <c r="N201" s="1"/>
      <c r="O201" s="57">
        <f t="array" ref="O2">_xlfn._xlws.FILTER(Таблица4[Наименование],ISNUMBER(SEARCH('Спецификация для запроса ТУ'!C312,Таблица4[Наименование])),"")</f>
      </c>
    </row>
    <row r="202" spans="1:15" x14ac:dyDescent="0.25">
      <c r="A202" s="1" t="s">
        <v>36</v>
      </c>
      <c r="B202" s="56" t="s">
        <v>436</v>
      </c>
      <c r="C202" s="56" t="s">
        <v>342</v>
      </c>
      <c r="D202" s="1" t="s">
        <v>36</v>
      </c>
      <c r="E202" s="1" t="s">
        <v>36</v>
      </c>
      <c r="F202" s="1" t="s">
        <v>36</v>
      </c>
      <c r="G202" s="1" t="s">
        <v>36</v>
      </c>
      <c r="H202" s="56">
        <v>17.3</v>
      </c>
      <c r="I202" s="56" t="s">
        <v>431</v>
      </c>
      <c r="J202" s="1" t="s">
        <v>36</v>
      </c>
      <c r="K202" s="56">
        <v>2</v>
      </c>
      <c r="L202" s="56">
        <v>0.168</v>
      </c>
      <c r="M202" s="56" t="s">
        <v>437</v>
      </c>
      <c r="N202" s="1"/>
      <c r="O202" s="57">
        <f t="array" ref="O2">_xlfn._xlws.FILTER(Таблица4[Наименование],ISNUMBER(SEARCH('Спецификация для запроса ТУ'!C312,Таблица4[Наименование])),"")</f>
      </c>
    </row>
    <row r="203" spans="1:15" x14ac:dyDescent="0.25">
      <c r="A203" s="1" t="s">
        <v>36</v>
      </c>
      <c r="B203" s="56" t="s">
        <v>438</v>
      </c>
      <c r="C203" s="56" t="s">
        <v>342</v>
      </c>
      <c r="D203" s="1" t="s">
        <v>36</v>
      </c>
      <c r="E203" s="1" t="s">
        <v>36</v>
      </c>
      <c r="F203" s="1" t="s">
        <v>36</v>
      </c>
      <c r="G203" s="1" t="s">
        <v>36</v>
      </c>
      <c r="H203" s="56">
        <v>24</v>
      </c>
      <c r="I203" s="56" t="s">
        <v>439</v>
      </c>
      <c r="J203" s="1" t="s">
        <v>36</v>
      </c>
      <c r="K203" s="56">
        <v>8</v>
      </c>
      <c r="L203" s="56">
        <v>0.157</v>
      </c>
      <c r="M203" s="56" t="s">
        <v>440</v>
      </c>
      <c r="N203" s="1"/>
      <c r="O203" s="57">
        <f t="array" ref="O2">_xlfn._xlws.FILTER(Таблица4[Наименование],ISNUMBER(SEARCH('Спецификация для запроса ТУ'!C312,Таблица4[Наименование])),"")</f>
      </c>
    </row>
    <row r="204" spans="1:15" x14ac:dyDescent="0.25">
      <c r="A204" s="1" t="s">
        <v>36</v>
      </c>
      <c r="B204" s="56" t="s">
        <v>441</v>
      </c>
      <c r="C204" s="56" t="s">
        <v>442</v>
      </c>
      <c r="D204" s="1" t="s">
        <v>36</v>
      </c>
      <c r="E204" s="1" t="s">
        <v>36</v>
      </c>
      <c r="F204" s="1" t="s">
        <v>36</v>
      </c>
      <c r="G204" s="1" t="s">
        <v>36</v>
      </c>
      <c r="H204" s="56">
        <v>0.5</v>
      </c>
      <c r="I204" s="56" t="s">
        <v>443</v>
      </c>
      <c r="J204" s="1" t="s">
        <v>36</v>
      </c>
      <c r="K204" s="56">
        <v>1</v>
      </c>
      <c r="L204" s="56">
        <v>0.001</v>
      </c>
      <c r="M204" s="56" t="s">
        <v>40</v>
      </c>
      <c r="N204" s="1"/>
      <c r="O204" s="57">
        <f t="array" ref="O2">_xlfn._xlws.FILTER(Таблица4[Наименование],ISNUMBER(SEARCH('Спецификация для запроса ТУ'!C312,Таблица4[Наименование])),"")</f>
      </c>
    </row>
    <row r="205" spans="1:15" x14ac:dyDescent="0.25">
      <c r="A205" s="1" t="s">
        <v>36</v>
      </c>
      <c r="B205" s="56" t="s">
        <v>444</v>
      </c>
      <c r="C205" s="56" t="s">
        <v>442</v>
      </c>
      <c r="D205" s="1" t="s">
        <v>36</v>
      </c>
      <c r="E205" s="1" t="s">
        <v>36</v>
      </c>
      <c r="F205" s="1" t="s">
        <v>36</v>
      </c>
      <c r="G205" s="1" t="s">
        <v>36</v>
      </c>
      <c r="H205" s="56">
        <v>1.5</v>
      </c>
      <c r="I205" s="56" t="s">
        <v>445</v>
      </c>
      <c r="J205" s="1" t="s">
        <v>36</v>
      </c>
      <c r="K205" s="56">
        <v>3</v>
      </c>
      <c r="L205" s="56">
        <v>0.026</v>
      </c>
      <c r="M205" s="56" t="s">
        <v>446</v>
      </c>
      <c r="N205" s="1"/>
      <c r="O205" s="57">
        <f t="array" ref="O2">_xlfn._xlws.FILTER(Таблица4[Наименование],ISNUMBER(SEARCH('Спецификация для запроса ТУ'!C312,Таблица4[Наименование])),"")</f>
      </c>
    </row>
    <row r="206" spans="1:15" x14ac:dyDescent="0.25">
      <c r="A206" s="1" t="s">
        <v>36</v>
      </c>
      <c r="B206" s="56" t="s">
        <v>447</v>
      </c>
      <c r="C206" s="56" t="s">
        <v>442</v>
      </c>
      <c r="D206" s="1" t="s">
        <v>36</v>
      </c>
      <c r="E206" s="1" t="s">
        <v>36</v>
      </c>
      <c r="F206" s="1" t="s">
        <v>36</v>
      </c>
      <c r="G206" s="1" t="s">
        <v>36</v>
      </c>
      <c r="H206" s="56">
        <v>16</v>
      </c>
      <c r="I206" s="56" t="s">
        <v>448</v>
      </c>
      <c r="J206" s="1" t="s">
        <v>36</v>
      </c>
      <c r="K206" s="56">
        <v>2</v>
      </c>
      <c r="L206" s="56">
        <v>0.117</v>
      </c>
      <c r="M206" s="56" t="s">
        <v>40</v>
      </c>
      <c r="N206" s="1"/>
      <c r="O206" s="57">
        <f t="array" ref="O2">_xlfn._xlws.FILTER(Таблица4[Наименование],ISNUMBER(SEARCH('Спецификация для запроса ТУ'!C312,Таблица4[Наименование])),"")</f>
      </c>
    </row>
    <row r="207" spans="1:15" x14ac:dyDescent="0.25">
      <c r="A207" s="1" t="s">
        <v>36</v>
      </c>
      <c r="B207" s="56" t="s">
        <v>449</v>
      </c>
      <c r="C207" s="56" t="s">
        <v>442</v>
      </c>
      <c r="D207" s="1" t="s">
        <v>36</v>
      </c>
      <c r="E207" s="1" t="s">
        <v>36</v>
      </c>
      <c r="F207" s="1" t="s">
        <v>36</v>
      </c>
      <c r="G207" s="1" t="s">
        <v>36</v>
      </c>
      <c r="H207" s="56">
        <v>3.6</v>
      </c>
      <c r="I207" s="56" t="s">
        <v>450</v>
      </c>
      <c r="J207" s="1" t="s">
        <v>36</v>
      </c>
      <c r="K207" s="56">
        <v>3</v>
      </c>
      <c r="L207" s="56">
        <v>0.025</v>
      </c>
      <c r="M207" s="56" t="s">
        <v>451</v>
      </c>
      <c r="N207" s="1"/>
      <c r="O207" s="57">
        <f t="array" ref="O2">_xlfn._xlws.FILTER(Таблица4[Наименование],ISNUMBER(SEARCH('Спецификация для запроса ТУ'!C312,Таблица4[Наименование])),"")</f>
      </c>
    </row>
    <row r="208" spans="1:15" x14ac:dyDescent="0.25">
      <c r="A208" s="1" t="s">
        <v>36</v>
      </c>
      <c r="B208" s="56" t="s">
        <v>452</v>
      </c>
      <c r="C208" s="56" t="s">
        <v>442</v>
      </c>
      <c r="D208" s="1" t="s">
        <v>36</v>
      </c>
      <c r="E208" s="1" t="s">
        <v>36</v>
      </c>
      <c r="F208" s="1" t="s">
        <v>36</v>
      </c>
      <c r="G208" s="1" t="s">
        <v>36</v>
      </c>
      <c r="H208" s="56">
        <v>2.3</v>
      </c>
      <c r="I208" s="56" t="s">
        <v>453</v>
      </c>
      <c r="J208" s="1" t="s">
        <v>36</v>
      </c>
      <c r="K208" s="56">
        <v>2</v>
      </c>
      <c r="L208" s="56">
        <v>0.033</v>
      </c>
      <c r="M208" s="56" t="s">
        <v>454</v>
      </c>
      <c r="N208" s="1"/>
      <c r="O208" s="57">
        <f t="array" ref="O2">_xlfn._xlws.FILTER(Таблица4[Наименование],ISNUMBER(SEARCH('Спецификация для запроса ТУ'!C312,Таблица4[Наименование])),"")</f>
      </c>
    </row>
    <row r="209" spans="1:15" x14ac:dyDescent="0.25">
      <c r="A209" s="1" t="s">
        <v>36</v>
      </c>
      <c r="B209" s="56" t="s">
        <v>455</v>
      </c>
      <c r="C209" s="56" t="s">
        <v>442</v>
      </c>
      <c r="D209" s="1" t="s">
        <v>36</v>
      </c>
      <c r="E209" s="1" t="s">
        <v>36</v>
      </c>
      <c r="F209" s="1" t="s">
        <v>36</v>
      </c>
      <c r="G209" s="1" t="s">
        <v>36</v>
      </c>
      <c r="H209" s="56">
        <v>4.6</v>
      </c>
      <c r="I209" s="56" t="s">
        <v>456</v>
      </c>
      <c r="J209" s="1" t="s">
        <v>36</v>
      </c>
      <c r="K209" s="56">
        <v>2</v>
      </c>
      <c r="L209" s="56">
        <v>0.053</v>
      </c>
      <c r="M209" s="56" t="s">
        <v>40</v>
      </c>
      <c r="N209" s="1"/>
      <c r="O209" s="57">
        <f t="array" ref="O2">_xlfn._xlws.FILTER(Таблица4[Наименование],ISNUMBER(SEARCH('Спецификация для запроса ТУ'!C312,Таблица4[Наименование])),"")</f>
      </c>
    </row>
    <row r="210" spans="1:15" x14ac:dyDescent="0.25">
      <c r="A210" s="1" t="s">
        <v>36</v>
      </c>
      <c r="B210" s="56" t="s">
        <v>457</v>
      </c>
      <c r="C210" s="56" t="s">
        <v>442</v>
      </c>
      <c r="D210" s="1" t="s">
        <v>36</v>
      </c>
      <c r="E210" s="1" t="s">
        <v>36</v>
      </c>
      <c r="F210" s="1" t="s">
        <v>36</v>
      </c>
      <c r="G210" s="1" t="s">
        <v>36</v>
      </c>
      <c r="H210" s="56">
        <v>2</v>
      </c>
      <c r="I210" s="56" t="s">
        <v>458</v>
      </c>
      <c r="J210" s="1" t="s">
        <v>36</v>
      </c>
      <c r="K210" s="56">
        <v>2</v>
      </c>
      <c r="L210" s="56">
        <v>0.02</v>
      </c>
      <c r="M210" s="56" t="s">
        <v>459</v>
      </c>
      <c r="N210" s="1"/>
      <c r="O210" s="57">
        <f t="array" ref="O2">_xlfn._xlws.FILTER(Таблица4[Наименование],ISNUMBER(SEARCH('Спецификация для запроса ТУ'!C312,Таблица4[Наименование])),"")</f>
      </c>
    </row>
    <row r="211" spans="1:15" x14ac:dyDescent="0.25">
      <c r="A211" s="1" t="s">
        <v>36</v>
      </c>
      <c r="B211" s="56" t="s">
        <v>460</v>
      </c>
      <c r="C211" s="56" t="s">
        <v>442</v>
      </c>
      <c r="D211" s="1" t="s">
        <v>36</v>
      </c>
      <c r="E211" s="1" t="s">
        <v>36</v>
      </c>
      <c r="F211" s="1" t="s">
        <v>36</v>
      </c>
      <c r="G211" s="1" t="s">
        <v>36</v>
      </c>
      <c r="H211" s="56">
        <v>16</v>
      </c>
      <c r="I211" s="56" t="s">
        <v>461</v>
      </c>
      <c r="J211" s="1" t="s">
        <v>36</v>
      </c>
      <c r="K211" s="56" t="s">
        <v>40</v>
      </c>
      <c r="L211" s="56">
        <v>0.147</v>
      </c>
      <c r="M211" s="56" t="s">
        <v>40</v>
      </c>
      <c r="N211" s="1"/>
      <c r="O211" s="57">
        <f t="array" ref="O2">_xlfn._xlws.FILTER(Таблица4[Наименование],ISNUMBER(SEARCH('Спецификация для запроса ТУ'!C312,Таблица4[Наименование])),"")</f>
      </c>
    </row>
    <row r="212" spans="1:15" x14ac:dyDescent="0.25">
      <c r="A212" s="1" t="s">
        <v>36</v>
      </c>
      <c r="B212" s="56" t="s">
        <v>462</v>
      </c>
      <c r="C212" s="56" t="s">
        <v>442</v>
      </c>
      <c r="D212" s="1" t="s">
        <v>36</v>
      </c>
      <c r="E212" s="1" t="s">
        <v>36</v>
      </c>
      <c r="F212" s="1" t="s">
        <v>36</v>
      </c>
      <c r="G212" s="1" t="s">
        <v>36</v>
      </c>
      <c r="H212" s="56">
        <v>0.5</v>
      </c>
      <c r="I212" s="56" t="s">
        <v>463</v>
      </c>
      <c r="J212" s="1" t="s">
        <v>36</v>
      </c>
      <c r="K212" s="56">
        <v>1</v>
      </c>
      <c r="L212" s="56">
        <v>0.015</v>
      </c>
      <c r="M212" s="56" t="s">
        <v>40</v>
      </c>
      <c r="N212" s="1"/>
      <c r="O212" s="57">
        <f t="array" ref="O2">_xlfn._xlws.FILTER(Таблица4[Наименование],ISNUMBER(SEARCH('Спецификация для запроса ТУ'!C312,Таблица4[Наименование])),"")</f>
      </c>
    </row>
    <row r="213" spans="1:15" x14ac:dyDescent="0.25">
      <c r="A213" s="1" t="s">
        <v>36</v>
      </c>
      <c r="B213" s="56" t="s">
        <v>464</v>
      </c>
      <c r="C213" s="56" t="s">
        <v>442</v>
      </c>
      <c r="D213" s="1" t="s">
        <v>36</v>
      </c>
      <c r="E213" s="1" t="s">
        <v>36</v>
      </c>
      <c r="F213" s="1" t="s">
        <v>36</v>
      </c>
      <c r="G213" s="1" t="s">
        <v>36</v>
      </c>
      <c r="H213" s="56">
        <v>4.6</v>
      </c>
      <c r="I213" s="56" t="s">
        <v>465</v>
      </c>
      <c r="J213" s="1" t="s">
        <v>36</v>
      </c>
      <c r="K213" s="56">
        <v>6</v>
      </c>
      <c r="L213" s="56">
        <v>0.04</v>
      </c>
      <c r="M213" s="56" t="s">
        <v>466</v>
      </c>
      <c r="N213" s="1"/>
      <c r="O213" s="57">
        <f t="array" ref="O2">_xlfn._xlws.FILTER(Таблица4[Наименование],ISNUMBER(SEARCH('Спецификация для запроса ТУ'!C312,Таблица4[Наименование])),"")</f>
      </c>
    </row>
    <row r="214" spans="1:15" x14ac:dyDescent="0.25">
      <c r="A214" s="1" t="s">
        <v>36</v>
      </c>
      <c r="B214" s="56" t="s">
        <v>467</v>
      </c>
      <c r="C214" s="56" t="s">
        <v>442</v>
      </c>
      <c r="D214" s="1" t="s">
        <v>36</v>
      </c>
      <c r="E214" s="1" t="s">
        <v>36</v>
      </c>
      <c r="F214" s="1" t="s">
        <v>36</v>
      </c>
      <c r="G214" s="1" t="s">
        <v>36</v>
      </c>
      <c r="H214" s="56">
        <v>1</v>
      </c>
      <c r="I214" s="56" t="s">
        <v>468</v>
      </c>
      <c r="J214" s="1" t="s">
        <v>36</v>
      </c>
      <c r="K214" s="56">
        <v>1</v>
      </c>
      <c r="L214" s="56">
        <v>0.015</v>
      </c>
      <c r="M214" s="56" t="s">
        <v>40</v>
      </c>
      <c r="N214" s="1"/>
      <c r="O214" s="57">
        <f t="array" ref="O2">_xlfn._xlws.FILTER(Таблица4[Наименование],ISNUMBER(SEARCH('Спецификация для запроса ТУ'!C312,Таблица4[Наименование])),"")</f>
      </c>
    </row>
    <row r="215" spans="1:15" x14ac:dyDescent="0.25">
      <c r="A215" s="1" t="s">
        <v>36</v>
      </c>
      <c r="B215" s="56" t="s">
        <v>469</v>
      </c>
      <c r="C215" s="56" t="s">
        <v>442</v>
      </c>
      <c r="D215" s="1" t="s">
        <v>36</v>
      </c>
      <c r="E215" s="1" t="s">
        <v>36</v>
      </c>
      <c r="F215" s="1" t="s">
        <v>36</v>
      </c>
      <c r="G215" s="1" t="s">
        <v>36</v>
      </c>
      <c r="H215" s="56">
        <v>1.5</v>
      </c>
      <c r="I215" s="56" t="s">
        <v>470</v>
      </c>
      <c r="J215" s="1" t="s">
        <v>36</v>
      </c>
      <c r="K215" s="56">
        <v>2</v>
      </c>
      <c r="L215" s="56">
        <v>0.018</v>
      </c>
      <c r="M215" s="56" t="s">
        <v>471</v>
      </c>
      <c r="N215" s="1"/>
      <c r="O215" s="57">
        <f t="array" ref="O2">_xlfn._xlws.FILTER(Таблица4[Наименование],ISNUMBER(SEARCH('Спецификация для запроса ТУ'!C312,Таблица4[Наименование])),"")</f>
      </c>
    </row>
    <row r="216" spans="1:15" x14ac:dyDescent="0.25">
      <c r="A216" s="1" t="s">
        <v>36</v>
      </c>
      <c r="B216" s="56" t="s">
        <v>472</v>
      </c>
      <c r="C216" s="56" t="s">
        <v>442</v>
      </c>
      <c r="D216" s="1" t="s">
        <v>36</v>
      </c>
      <c r="E216" s="1" t="s">
        <v>36</v>
      </c>
      <c r="F216" s="1" t="s">
        <v>36</v>
      </c>
      <c r="G216" s="1" t="s">
        <v>36</v>
      </c>
      <c r="H216" s="56">
        <v>2</v>
      </c>
      <c r="I216" s="56" t="s">
        <v>473</v>
      </c>
      <c r="J216" s="1" t="s">
        <v>36</v>
      </c>
      <c r="K216" s="56">
        <v>2</v>
      </c>
      <c r="L216" s="56">
        <v>0.024</v>
      </c>
      <c r="M216" s="56" t="s">
        <v>474</v>
      </c>
      <c r="N216" s="1"/>
      <c r="O216" s="57">
        <f t="array" ref="O2">_xlfn._xlws.FILTER(Таблица4[Наименование],ISNUMBER(SEARCH('Спецификация для запроса ТУ'!C312,Таблица4[Наименование])),"")</f>
      </c>
    </row>
    <row r="217" spans="1:15" x14ac:dyDescent="0.25">
      <c r="A217" s="1" t="s">
        <v>36</v>
      </c>
      <c r="B217" s="56" t="s">
        <v>475</v>
      </c>
      <c r="C217" s="56" t="s">
        <v>442</v>
      </c>
      <c r="D217" s="1" t="s">
        <v>36</v>
      </c>
      <c r="E217" s="1" t="s">
        <v>36</v>
      </c>
      <c r="F217" s="1" t="s">
        <v>36</v>
      </c>
      <c r="G217" s="1" t="s">
        <v>36</v>
      </c>
      <c r="H217" s="56">
        <v>2.6</v>
      </c>
      <c r="I217" s="56" t="s">
        <v>476</v>
      </c>
      <c r="J217" s="1" t="s">
        <v>36</v>
      </c>
      <c r="K217" s="56">
        <v>2</v>
      </c>
      <c r="L217" s="56">
        <v>0.029</v>
      </c>
      <c r="M217" s="56" t="s">
        <v>477</v>
      </c>
      <c r="N217" s="1"/>
      <c r="O217" s="57">
        <f t="array" ref="O2">_xlfn._xlws.FILTER(Таблица4[Наименование],ISNUMBER(SEARCH('Спецификация для запроса ТУ'!C312,Таблица4[Наименование])),"")</f>
      </c>
    </row>
    <row r="218" spans="1:15" x14ac:dyDescent="0.25">
      <c r="A218" s="1" t="s">
        <v>36</v>
      </c>
      <c r="B218" s="56" t="s">
        <v>478</v>
      </c>
      <c r="C218" s="56" t="s">
        <v>442</v>
      </c>
      <c r="D218" s="1" t="s">
        <v>36</v>
      </c>
      <c r="E218" s="1" t="s">
        <v>36</v>
      </c>
      <c r="F218" s="1" t="s">
        <v>36</v>
      </c>
      <c r="G218" s="1" t="s">
        <v>36</v>
      </c>
      <c r="H218" s="56">
        <v>7</v>
      </c>
      <c r="I218" s="56" t="s">
        <v>479</v>
      </c>
      <c r="J218" s="1" t="s">
        <v>36</v>
      </c>
      <c r="K218" s="56">
        <v>2</v>
      </c>
      <c r="L218" s="56">
        <v>0.05</v>
      </c>
      <c r="M218" s="56" t="s">
        <v>480</v>
      </c>
      <c r="N218" s="1"/>
      <c r="O218" s="57">
        <f t="array" ref="O2">_xlfn._xlws.FILTER(Таблица4[Наименование],ISNUMBER(SEARCH('Спецификация для запроса ТУ'!C312,Таблица4[Наименование])),"")</f>
      </c>
    </row>
    <row r="219" spans="1:15" x14ac:dyDescent="0.25">
      <c r="A219" s="1" t="s">
        <v>36</v>
      </c>
      <c r="B219" s="56" t="s">
        <v>481</v>
      </c>
      <c r="C219" s="56" t="s">
        <v>442</v>
      </c>
      <c r="D219" s="1" t="s">
        <v>36</v>
      </c>
      <c r="E219" s="1" t="s">
        <v>36</v>
      </c>
      <c r="F219" s="1" t="s">
        <v>36</v>
      </c>
      <c r="G219" s="1" t="s">
        <v>36</v>
      </c>
      <c r="H219" s="56">
        <v>20</v>
      </c>
      <c r="I219" s="56" t="s">
        <v>482</v>
      </c>
      <c r="J219" s="1" t="s">
        <v>36</v>
      </c>
      <c r="K219" s="56" t="s">
        <v>40</v>
      </c>
      <c r="L219" s="56">
        <v>0.152</v>
      </c>
      <c r="M219" s="56" t="s">
        <v>40</v>
      </c>
      <c r="N219" s="1"/>
      <c r="O219" s="57">
        <f t="array" ref="O2">_xlfn._xlws.FILTER(Таблица4[Наименование],ISNUMBER(SEARCH('Спецификация для запроса ТУ'!C312,Таблица4[Наименование])),"")</f>
      </c>
    </row>
    <row r="220" spans="1:15" x14ac:dyDescent="0.25">
      <c r="A220" s="1" t="s">
        <v>36</v>
      </c>
      <c r="B220" s="56" t="s">
        <v>483</v>
      </c>
      <c r="C220" s="56" t="s">
        <v>442</v>
      </c>
      <c r="D220" s="1" t="s">
        <v>36</v>
      </c>
      <c r="E220" s="1" t="s">
        <v>36</v>
      </c>
      <c r="F220" s="1" t="s">
        <v>36</v>
      </c>
      <c r="G220" s="1" t="s">
        <v>36</v>
      </c>
      <c r="H220" s="56">
        <v>4</v>
      </c>
      <c r="I220" s="56" t="s">
        <v>484</v>
      </c>
      <c r="J220" s="1" t="s">
        <v>36</v>
      </c>
      <c r="K220" s="56">
        <v>4</v>
      </c>
      <c r="L220" s="56">
        <v>0.049</v>
      </c>
      <c r="M220" s="56" t="s">
        <v>485</v>
      </c>
      <c r="N220" s="1"/>
      <c r="O220" s="57">
        <f t="array" ref="O2">_xlfn._xlws.FILTER(Таблица4[Наименование],ISNUMBER(SEARCH('Спецификация для запроса ТУ'!C312,Таблица4[Наименование])),"")</f>
      </c>
    </row>
    <row r="221" spans="1:15" x14ac:dyDescent="0.25">
      <c r="A221" s="1" t="s">
        <v>36</v>
      </c>
      <c r="B221" s="56" t="s">
        <v>486</v>
      </c>
      <c r="C221" s="56" t="s">
        <v>442</v>
      </c>
      <c r="D221" s="1" t="s">
        <v>36</v>
      </c>
      <c r="E221" s="1" t="s">
        <v>36</v>
      </c>
      <c r="F221" s="1" t="s">
        <v>36</v>
      </c>
      <c r="G221" s="1" t="s">
        <v>36</v>
      </c>
      <c r="H221" s="56">
        <v>2.5</v>
      </c>
      <c r="I221" s="56" t="s">
        <v>487</v>
      </c>
      <c r="J221" s="1" t="s">
        <v>36</v>
      </c>
      <c r="K221" s="56">
        <v>2</v>
      </c>
      <c r="L221" s="56">
        <v>0.022</v>
      </c>
      <c r="M221" s="56" t="s">
        <v>454</v>
      </c>
      <c r="N221" s="1"/>
      <c r="O221" s="57">
        <f t="array" ref="O2">_xlfn._xlws.FILTER(Таблица4[Наименование],ISNUMBER(SEARCH('Спецификация для запроса ТУ'!C312,Таблица4[Наименование])),"")</f>
      </c>
    </row>
    <row r="222" spans="1:15" x14ac:dyDescent="0.25">
      <c r="A222" s="1" t="s">
        <v>36</v>
      </c>
      <c r="B222" s="56" t="s">
        <v>488</v>
      </c>
      <c r="C222" s="56" t="s">
        <v>442</v>
      </c>
      <c r="D222" s="1" t="s">
        <v>36</v>
      </c>
      <c r="E222" s="1" t="s">
        <v>36</v>
      </c>
      <c r="F222" s="1" t="s">
        <v>36</v>
      </c>
      <c r="G222" s="1" t="s">
        <v>36</v>
      </c>
      <c r="H222" s="56">
        <v>2.1</v>
      </c>
      <c r="I222" s="56" t="s">
        <v>489</v>
      </c>
      <c r="J222" s="1" t="s">
        <v>36</v>
      </c>
      <c r="K222" s="56">
        <v>2</v>
      </c>
      <c r="L222" s="56">
        <v>0.021</v>
      </c>
      <c r="M222" s="56" t="s">
        <v>454</v>
      </c>
      <c r="N222" s="1"/>
      <c r="O222" s="57">
        <f t="array" ref="O2">_xlfn._xlws.FILTER(Таблица4[Наименование],ISNUMBER(SEARCH('Спецификация для запроса ТУ'!C312,Таблица4[Наименование])),"")</f>
      </c>
    </row>
    <row r="223" spans="1:15" x14ac:dyDescent="0.25">
      <c r="A223" s="1" t="s">
        <v>36</v>
      </c>
      <c r="B223" s="56" t="s">
        <v>490</v>
      </c>
      <c r="C223" s="56" t="s">
        <v>442</v>
      </c>
      <c r="D223" s="1" t="s">
        <v>36</v>
      </c>
      <c r="E223" s="1" t="s">
        <v>36</v>
      </c>
      <c r="F223" s="1" t="s">
        <v>36</v>
      </c>
      <c r="G223" s="1" t="s">
        <v>36</v>
      </c>
      <c r="H223" s="56">
        <v>1.5</v>
      </c>
      <c r="I223" s="56" t="s">
        <v>491</v>
      </c>
      <c r="J223" s="1" t="s">
        <v>36</v>
      </c>
      <c r="K223" s="56">
        <v>2</v>
      </c>
      <c r="L223" s="56">
        <v>0.014</v>
      </c>
      <c r="M223" s="56" t="s">
        <v>454</v>
      </c>
      <c r="N223" s="1"/>
      <c r="O223" s="57">
        <f t="array" ref="O2">_xlfn._xlws.FILTER(Таблица4[Наименование],ISNUMBER(SEARCH('Спецификация для запроса ТУ'!C312,Таблица4[Наименование])),"")</f>
      </c>
    </row>
    <row r="224" spans="1:15" x14ac:dyDescent="0.25">
      <c r="A224" s="1" t="s">
        <v>36</v>
      </c>
      <c r="B224" s="56" t="s">
        <v>492</v>
      </c>
      <c r="C224" s="56" t="s">
        <v>442</v>
      </c>
      <c r="D224" s="1" t="s">
        <v>36</v>
      </c>
      <c r="E224" s="1" t="s">
        <v>36</v>
      </c>
      <c r="F224" s="1" t="s">
        <v>36</v>
      </c>
      <c r="G224" s="1" t="s">
        <v>36</v>
      </c>
      <c r="H224" s="56">
        <v>3.8</v>
      </c>
      <c r="I224" s="56" t="s">
        <v>493</v>
      </c>
      <c r="J224" s="1" t="s">
        <v>36</v>
      </c>
      <c r="K224" s="56">
        <v>2</v>
      </c>
      <c r="L224" s="56">
        <v>0.038</v>
      </c>
      <c r="M224" s="56" t="s">
        <v>40</v>
      </c>
      <c r="N224" s="1"/>
      <c r="O224" s="57">
        <f t="array" ref="O2">_xlfn._xlws.FILTER(Таблица4[Наименование],ISNUMBER(SEARCH('Спецификация для запроса ТУ'!C312,Таблица4[Наименование])),"")</f>
      </c>
    </row>
    <row r="225" spans="1:15" x14ac:dyDescent="0.25">
      <c r="A225" s="1" t="s">
        <v>36</v>
      </c>
      <c r="B225" s="56" t="s">
        <v>494</v>
      </c>
      <c r="C225" s="56" t="s">
        <v>442</v>
      </c>
      <c r="D225" s="1" t="s">
        <v>36</v>
      </c>
      <c r="E225" s="1" t="s">
        <v>36</v>
      </c>
      <c r="F225" s="1" t="s">
        <v>36</v>
      </c>
      <c r="G225" s="1" t="s">
        <v>36</v>
      </c>
      <c r="H225" s="56">
        <v>6.5</v>
      </c>
      <c r="I225" s="56" t="s">
        <v>495</v>
      </c>
      <c r="J225" s="1" t="s">
        <v>36</v>
      </c>
      <c r="K225" s="56">
        <v>4</v>
      </c>
      <c r="L225" s="56">
        <v>0.036</v>
      </c>
      <c r="M225" s="56" t="s">
        <v>496</v>
      </c>
      <c r="N225" s="1"/>
      <c r="O225" s="57">
        <f t="array" ref="O2">_xlfn._xlws.FILTER(Таблица4[Наименование],ISNUMBER(SEARCH('Спецификация для запроса ТУ'!C312,Таблица4[Наименование])),"")</f>
      </c>
    </row>
    <row r="226" spans="1:15" x14ac:dyDescent="0.25">
      <c r="A226" s="1" t="s">
        <v>36</v>
      </c>
      <c r="B226" s="56" t="s">
        <v>497</v>
      </c>
      <c r="C226" s="56" t="s">
        <v>442</v>
      </c>
      <c r="D226" s="1" t="s">
        <v>36</v>
      </c>
      <c r="E226" s="1" t="s">
        <v>36</v>
      </c>
      <c r="F226" s="1" t="s">
        <v>36</v>
      </c>
      <c r="G226" s="1" t="s">
        <v>36</v>
      </c>
      <c r="H226" s="56">
        <v>2.9</v>
      </c>
      <c r="I226" s="56" t="s">
        <v>498</v>
      </c>
      <c r="J226" s="1" t="s">
        <v>36</v>
      </c>
      <c r="K226" s="56">
        <v>2</v>
      </c>
      <c r="L226" s="56">
        <v>0.033</v>
      </c>
      <c r="M226" s="56" t="s">
        <v>454</v>
      </c>
      <c r="N226" s="1"/>
      <c r="O226" s="57">
        <f t="array" ref="O2">_xlfn._xlws.FILTER(Таблица4[Наименование],ISNUMBER(SEARCH('Спецификация для запроса ТУ'!C312,Таблица4[Наименование])),"")</f>
      </c>
    </row>
    <row r="227" spans="1:15" x14ac:dyDescent="0.25">
      <c r="A227" s="1" t="s">
        <v>36</v>
      </c>
      <c r="B227" s="56" t="s">
        <v>499</v>
      </c>
      <c r="C227" s="56" t="s">
        <v>442</v>
      </c>
      <c r="D227" s="1" t="s">
        <v>36</v>
      </c>
      <c r="E227" s="1" t="s">
        <v>36</v>
      </c>
      <c r="F227" s="1" t="s">
        <v>36</v>
      </c>
      <c r="G227" s="1" t="s">
        <v>36</v>
      </c>
      <c r="H227" s="56">
        <v>1.4</v>
      </c>
      <c r="I227" s="56" t="s">
        <v>500</v>
      </c>
      <c r="J227" s="1" t="s">
        <v>36</v>
      </c>
      <c r="K227" s="56">
        <v>2</v>
      </c>
      <c r="L227" s="56">
        <v>0.015</v>
      </c>
      <c r="M227" s="56" t="s">
        <v>454</v>
      </c>
      <c r="N227" s="1"/>
      <c r="O227" s="57">
        <f t="array" ref="O2">_xlfn._xlws.FILTER(Таблица4[Наименование],ISNUMBER(SEARCH('Спецификация для запроса ТУ'!C312,Таблица4[Наименование])),"")</f>
      </c>
    </row>
    <row r="228" spans="1:15" x14ac:dyDescent="0.25">
      <c r="A228" s="1" t="s">
        <v>36</v>
      </c>
      <c r="B228" s="56" t="s">
        <v>501</v>
      </c>
      <c r="C228" s="56" t="s">
        <v>442</v>
      </c>
      <c r="D228" s="1" t="s">
        <v>36</v>
      </c>
      <c r="E228" s="1" t="s">
        <v>36</v>
      </c>
      <c r="F228" s="1" t="s">
        <v>36</v>
      </c>
      <c r="G228" s="1" t="s">
        <v>36</v>
      </c>
      <c r="H228" s="56">
        <v>20</v>
      </c>
      <c r="I228" s="56" t="s">
        <v>406</v>
      </c>
      <c r="J228" s="1" t="s">
        <v>36</v>
      </c>
      <c r="K228" s="56" t="s">
        <v>40</v>
      </c>
      <c r="L228" s="56">
        <v>0.276</v>
      </c>
      <c r="M228" s="56" t="s">
        <v>40</v>
      </c>
      <c r="N228" s="1"/>
      <c r="O228" s="57">
        <f t="array" ref="O2">_xlfn._xlws.FILTER(Таблица4[Наименование],ISNUMBER(SEARCH('Спецификация для запроса ТУ'!C312,Таблица4[Наименование])),"")</f>
      </c>
    </row>
    <row r="229" spans="1:15" x14ac:dyDescent="0.25">
      <c r="A229" s="1" t="s">
        <v>36</v>
      </c>
      <c r="B229" s="56" t="s">
        <v>502</v>
      </c>
      <c r="C229" s="56" t="s">
        <v>442</v>
      </c>
      <c r="D229" s="1" t="s">
        <v>36</v>
      </c>
      <c r="E229" s="1" t="s">
        <v>36</v>
      </c>
      <c r="F229" s="1" t="s">
        <v>36</v>
      </c>
      <c r="G229" s="1" t="s">
        <v>36</v>
      </c>
      <c r="H229" s="56">
        <v>20</v>
      </c>
      <c r="I229" s="56" t="s">
        <v>406</v>
      </c>
      <c r="J229" s="1" t="s">
        <v>36</v>
      </c>
      <c r="K229" s="56" t="s">
        <v>40</v>
      </c>
      <c r="L229" s="56">
        <v>0.276</v>
      </c>
      <c r="M229" s="56" t="s">
        <v>40</v>
      </c>
      <c r="N229" s="1"/>
      <c r="O229" s="57">
        <f t="array" ref="O2">_xlfn._xlws.FILTER(Таблица4[Наименование],ISNUMBER(SEARCH('Спецификация для запроса ТУ'!C312,Таблица4[Наименование])),"")</f>
      </c>
    </row>
    <row r="230" spans="1:15" x14ac:dyDescent="0.25">
      <c r="A230" s="1" t="s">
        <v>36</v>
      </c>
      <c r="B230" s="56" t="s">
        <v>503</v>
      </c>
      <c r="C230" s="56" t="s">
        <v>442</v>
      </c>
      <c r="D230" s="1" t="s">
        <v>36</v>
      </c>
      <c r="E230" s="1" t="s">
        <v>36</v>
      </c>
      <c r="F230" s="1" t="s">
        <v>36</v>
      </c>
      <c r="G230" s="1" t="s">
        <v>36</v>
      </c>
      <c r="H230" s="56">
        <v>20</v>
      </c>
      <c r="I230" s="56" t="s">
        <v>406</v>
      </c>
      <c r="J230" s="1" t="s">
        <v>36</v>
      </c>
      <c r="K230" s="56" t="s">
        <v>40</v>
      </c>
      <c r="L230" s="56">
        <v>0.276</v>
      </c>
      <c r="M230" s="56" t="s">
        <v>40</v>
      </c>
      <c r="N230" s="1"/>
      <c r="O230" s="57">
        <f t="array" ref="O2">_xlfn._xlws.FILTER(Таблица4[Наименование],ISNUMBER(SEARCH('Спецификация для запроса ТУ'!C312,Таблица4[Наименование])),"")</f>
      </c>
    </row>
    <row r="231" spans="1:15" x14ac:dyDescent="0.25">
      <c r="A231" s="1" t="s">
        <v>36</v>
      </c>
      <c r="B231" s="56" t="s">
        <v>504</v>
      </c>
      <c r="C231" s="56" t="s">
        <v>442</v>
      </c>
      <c r="D231" s="1" t="s">
        <v>36</v>
      </c>
      <c r="E231" s="1" t="s">
        <v>36</v>
      </c>
      <c r="F231" s="1" t="s">
        <v>36</v>
      </c>
      <c r="G231" s="1" t="s">
        <v>36</v>
      </c>
      <c r="H231" s="56">
        <v>20</v>
      </c>
      <c r="I231" s="56" t="s">
        <v>406</v>
      </c>
      <c r="J231" s="1" t="s">
        <v>36</v>
      </c>
      <c r="K231" s="56" t="s">
        <v>40</v>
      </c>
      <c r="L231" s="56">
        <v>0.276</v>
      </c>
      <c r="M231" s="56" t="s">
        <v>40</v>
      </c>
      <c r="N231" s="1"/>
      <c r="O231" s="57">
        <f t="array" ref="O2">_xlfn._xlws.FILTER(Таблица4[Наименование],ISNUMBER(SEARCH('Спецификация для запроса ТУ'!C312,Таблица4[Наименование])),"")</f>
      </c>
    </row>
    <row r="232" spans="1:15" x14ac:dyDescent="0.25">
      <c r="A232" s="1" t="s">
        <v>36</v>
      </c>
      <c r="B232" s="56" t="s">
        <v>505</v>
      </c>
      <c r="C232" s="56" t="s">
        <v>442</v>
      </c>
      <c r="D232" s="1" t="s">
        <v>36</v>
      </c>
      <c r="E232" s="1" t="s">
        <v>36</v>
      </c>
      <c r="F232" s="1" t="s">
        <v>36</v>
      </c>
      <c r="G232" s="1" t="s">
        <v>36</v>
      </c>
      <c r="H232" s="56">
        <v>2.5</v>
      </c>
      <c r="I232" s="56" t="s">
        <v>506</v>
      </c>
      <c r="J232" s="1" t="s">
        <v>36</v>
      </c>
      <c r="K232" s="56">
        <v>2</v>
      </c>
      <c r="L232" s="56">
        <v>0.014</v>
      </c>
      <c r="M232" s="56" t="s">
        <v>454</v>
      </c>
      <c r="N232" s="1"/>
      <c r="O232" s="57">
        <f t="array" ref="O2">_xlfn._xlws.FILTER(Таблица4[Наименование],ISNUMBER(SEARCH('Спецификация для запроса ТУ'!C312,Таблица4[Наименование])),"")</f>
      </c>
    </row>
    <row r="233" spans="1:15" x14ac:dyDescent="0.25">
      <c r="A233" s="1" t="s">
        <v>36</v>
      </c>
      <c r="B233" s="56" t="s">
        <v>507</v>
      </c>
      <c r="C233" s="56" t="s">
        <v>442</v>
      </c>
      <c r="D233" s="1" t="s">
        <v>36</v>
      </c>
      <c r="E233" s="1" t="s">
        <v>36</v>
      </c>
      <c r="F233" s="1" t="s">
        <v>36</v>
      </c>
      <c r="G233" s="1" t="s">
        <v>36</v>
      </c>
      <c r="H233" s="56">
        <v>5</v>
      </c>
      <c r="I233" s="56" t="s">
        <v>508</v>
      </c>
      <c r="J233" s="1" t="s">
        <v>36</v>
      </c>
      <c r="K233" s="56">
        <v>4</v>
      </c>
      <c r="L233" s="56">
        <v>0.018</v>
      </c>
      <c r="M233" s="56" t="s">
        <v>509</v>
      </c>
      <c r="N233" s="1"/>
      <c r="O233" s="57">
        <f t="array" ref="O2">_xlfn._xlws.FILTER(Таблица4[Наименование],ISNUMBER(SEARCH('Спецификация для запроса ТУ'!C312,Таблица4[Наименование])),"")</f>
      </c>
    </row>
    <row r="234" spans="1:15" x14ac:dyDescent="0.25">
      <c r="A234" s="1" t="s">
        <v>36</v>
      </c>
      <c r="B234" s="56" t="s">
        <v>510</v>
      </c>
      <c r="C234" s="56" t="s">
        <v>442</v>
      </c>
      <c r="D234" s="1" t="s">
        <v>36</v>
      </c>
      <c r="E234" s="1" t="s">
        <v>36</v>
      </c>
      <c r="F234" s="1" t="s">
        <v>36</v>
      </c>
      <c r="G234" s="1" t="s">
        <v>36</v>
      </c>
      <c r="H234" s="56">
        <v>1</v>
      </c>
      <c r="I234" s="56" t="s">
        <v>511</v>
      </c>
      <c r="J234" s="1" t="s">
        <v>36</v>
      </c>
      <c r="K234" s="56">
        <v>1</v>
      </c>
      <c r="L234" s="56">
        <v>0.004</v>
      </c>
      <c r="M234" s="56" t="s">
        <v>40</v>
      </c>
      <c r="N234" s="1"/>
      <c r="O234" s="57">
        <f t="array" ref="O2">_xlfn._xlws.FILTER(Таблица4[Наименование],ISNUMBER(SEARCH('Спецификация для запроса ТУ'!C312,Таблица4[Наименование])),"")</f>
      </c>
    </row>
    <row r="235" spans="1:15" x14ac:dyDescent="0.25">
      <c r="A235" s="1" t="s">
        <v>36</v>
      </c>
      <c r="B235" s="56" t="s">
        <v>512</v>
      </c>
      <c r="C235" s="56" t="s">
        <v>442</v>
      </c>
      <c r="D235" s="1" t="s">
        <v>36</v>
      </c>
      <c r="E235" s="1" t="s">
        <v>36</v>
      </c>
      <c r="F235" s="1" t="s">
        <v>36</v>
      </c>
      <c r="G235" s="1" t="s">
        <v>36</v>
      </c>
      <c r="H235" s="56">
        <v>4</v>
      </c>
      <c r="I235" s="56" t="s">
        <v>513</v>
      </c>
      <c r="J235" s="1" t="s">
        <v>36</v>
      </c>
      <c r="K235" s="56">
        <v>2</v>
      </c>
      <c r="L235" s="56">
        <v>0.013</v>
      </c>
      <c r="M235" s="56" t="s">
        <v>40</v>
      </c>
      <c r="N235" s="1"/>
      <c r="O235" s="57">
        <f t="array" ref="O2">_xlfn._xlws.FILTER(Таблица4[Наименование],ISNUMBER(SEARCH('Спецификация для запроса ТУ'!C312,Таблица4[Наименование])),"")</f>
      </c>
    </row>
    <row r="236" spans="1:15" x14ac:dyDescent="0.25">
      <c r="A236" s="1" t="s">
        <v>36</v>
      </c>
      <c r="B236" s="56" t="s">
        <v>514</v>
      </c>
      <c r="C236" s="56" t="s">
        <v>442</v>
      </c>
      <c r="D236" s="1" t="s">
        <v>36</v>
      </c>
      <c r="E236" s="1" t="s">
        <v>36</v>
      </c>
      <c r="F236" s="1" t="s">
        <v>36</v>
      </c>
      <c r="G236" s="1" t="s">
        <v>36</v>
      </c>
      <c r="H236" s="56">
        <v>4.6</v>
      </c>
      <c r="I236" s="56" t="s">
        <v>465</v>
      </c>
      <c r="J236" s="1" t="s">
        <v>36</v>
      </c>
      <c r="K236" s="56">
        <v>6</v>
      </c>
      <c r="L236" s="56">
        <v>0.04</v>
      </c>
      <c r="M236" s="56" t="s">
        <v>466</v>
      </c>
      <c r="N236" s="1"/>
      <c r="O236" s="57">
        <f t="array" ref="O2">_xlfn._xlws.FILTER(Таблица4[Наименование],ISNUMBER(SEARCH('Спецификация для запроса ТУ'!C312,Таблица4[Наименование])),"")</f>
      </c>
    </row>
    <row r="237" spans="1:15" x14ac:dyDescent="0.25">
      <c r="A237" s="1" t="s">
        <v>36</v>
      </c>
      <c r="B237" s="56" t="s">
        <v>515</v>
      </c>
      <c r="C237" s="56" t="s">
        <v>442</v>
      </c>
      <c r="D237" s="1" t="s">
        <v>36</v>
      </c>
      <c r="E237" s="1" t="s">
        <v>36</v>
      </c>
      <c r="F237" s="1" t="s">
        <v>36</v>
      </c>
      <c r="G237" s="1" t="s">
        <v>36</v>
      </c>
      <c r="H237" s="56">
        <v>4.6</v>
      </c>
      <c r="I237" s="56" t="s">
        <v>465</v>
      </c>
      <c r="J237" s="1" t="s">
        <v>36</v>
      </c>
      <c r="K237" s="56">
        <v>6</v>
      </c>
      <c r="L237" s="56">
        <v>0.04</v>
      </c>
      <c r="M237" s="56" t="s">
        <v>466</v>
      </c>
      <c r="N237" s="1"/>
      <c r="O237" s="57">
        <f t="array" ref="O2">_xlfn._xlws.FILTER(Таблица4[Наименование],ISNUMBER(SEARCH('Спецификация для запроса ТУ'!C312,Таблица4[Наименование])),"")</f>
      </c>
    </row>
    <row r="238" spans="1:15" x14ac:dyDescent="0.25">
      <c r="A238" s="1" t="s">
        <v>36</v>
      </c>
      <c r="B238" s="56" t="s">
        <v>516</v>
      </c>
      <c r="C238" s="56" t="s">
        <v>442</v>
      </c>
      <c r="D238" s="1" t="s">
        <v>36</v>
      </c>
      <c r="E238" s="1" t="s">
        <v>36</v>
      </c>
      <c r="F238" s="1" t="s">
        <v>36</v>
      </c>
      <c r="G238" s="1" t="s">
        <v>36</v>
      </c>
      <c r="H238" s="56">
        <v>0.5</v>
      </c>
      <c r="I238" s="56" t="s">
        <v>517</v>
      </c>
      <c r="J238" s="1" t="s">
        <v>36</v>
      </c>
      <c r="K238" s="56">
        <v>10</v>
      </c>
      <c r="L238" s="56">
        <v>0.039</v>
      </c>
      <c r="M238" s="56" t="s">
        <v>40</v>
      </c>
      <c r="N238" s="1"/>
      <c r="O238" s="57">
        <f t="array" ref="O2">_xlfn._xlws.FILTER(Таблица4[Наименование],ISNUMBER(SEARCH('Спецификация для запроса ТУ'!C312,Таблица4[Наименование])),"")</f>
      </c>
    </row>
    <row r="239" spans="1:15" x14ac:dyDescent="0.25">
      <c r="A239" s="1" t="s">
        <v>36</v>
      </c>
      <c r="B239" s="56" t="s">
        <v>518</v>
      </c>
      <c r="C239" s="56" t="s">
        <v>442</v>
      </c>
      <c r="D239" s="1" t="s">
        <v>36</v>
      </c>
      <c r="E239" s="1" t="s">
        <v>36</v>
      </c>
      <c r="F239" s="1" t="s">
        <v>36</v>
      </c>
      <c r="G239" s="1" t="s">
        <v>36</v>
      </c>
      <c r="H239" s="56">
        <v>1.9</v>
      </c>
      <c r="I239" s="56" t="s">
        <v>519</v>
      </c>
      <c r="J239" s="1" t="s">
        <v>36</v>
      </c>
      <c r="K239" s="56">
        <v>10</v>
      </c>
      <c r="L239" s="56">
        <v>0.081</v>
      </c>
      <c r="M239" s="56" t="s">
        <v>40</v>
      </c>
      <c r="N239" s="1"/>
      <c r="O239" s="57">
        <f t="array" ref="O2">_xlfn._xlws.FILTER(Таблица4[Наименование],ISNUMBER(SEARCH('Спецификация для запроса ТУ'!C312,Таблица4[Наименование])),"")</f>
      </c>
    </row>
    <row r="240" spans="1:15" x14ac:dyDescent="0.25">
      <c r="A240" s="1" t="s">
        <v>36</v>
      </c>
      <c r="B240" s="56" t="s">
        <v>520</v>
      </c>
      <c r="C240" s="56" t="s">
        <v>442</v>
      </c>
      <c r="D240" s="1" t="s">
        <v>36</v>
      </c>
      <c r="E240" s="1" t="s">
        <v>36</v>
      </c>
      <c r="F240" s="1" t="s">
        <v>36</v>
      </c>
      <c r="G240" s="1" t="s">
        <v>36</v>
      </c>
      <c r="H240" s="56">
        <v>4</v>
      </c>
      <c r="I240" s="56" t="s">
        <v>521</v>
      </c>
      <c r="J240" s="1" t="s">
        <v>36</v>
      </c>
      <c r="K240" s="56">
        <v>2</v>
      </c>
      <c r="L240" s="56">
        <v>0.03</v>
      </c>
      <c r="M240" s="56" t="s">
        <v>522</v>
      </c>
      <c r="N240" s="1"/>
      <c r="O240" s="57">
        <f t="array" ref="O2">_xlfn._xlws.FILTER(Таблица4[Наименование],ISNUMBER(SEARCH('Спецификация для запроса ТУ'!C312,Таблица4[Наименование])),"")</f>
      </c>
    </row>
    <row r="241" spans="1:15" x14ac:dyDescent="0.25">
      <c r="A241" s="1" t="s">
        <v>36</v>
      </c>
      <c r="B241" s="56" t="s">
        <v>523</v>
      </c>
      <c r="C241" s="56" t="s">
        <v>442</v>
      </c>
      <c r="D241" s="1" t="s">
        <v>36</v>
      </c>
      <c r="E241" s="1" t="s">
        <v>36</v>
      </c>
      <c r="F241" s="1" t="s">
        <v>36</v>
      </c>
      <c r="G241" s="1" t="s">
        <v>36</v>
      </c>
      <c r="H241" s="56">
        <v>2</v>
      </c>
      <c r="I241" s="56" t="s">
        <v>524</v>
      </c>
      <c r="J241" s="1" t="s">
        <v>36</v>
      </c>
      <c r="K241" s="56">
        <v>2</v>
      </c>
      <c r="L241" s="56">
        <v>0.053</v>
      </c>
      <c r="M241" s="56" t="s">
        <v>40</v>
      </c>
      <c r="N241" s="1"/>
      <c r="O241" s="57">
        <f t="array" ref="O2">_xlfn._xlws.FILTER(Таблица4[Наименование],ISNUMBER(SEARCH('Спецификация для запроса ТУ'!C312,Таблица4[Наименование])),"")</f>
      </c>
    </row>
    <row r="242" spans="1:15" x14ac:dyDescent="0.25">
      <c r="A242" s="1" t="s">
        <v>36</v>
      </c>
      <c r="B242" s="56" t="s">
        <v>525</v>
      </c>
      <c r="C242" s="56" t="s">
        <v>442</v>
      </c>
      <c r="D242" s="1" t="s">
        <v>36</v>
      </c>
      <c r="E242" s="1" t="s">
        <v>36</v>
      </c>
      <c r="F242" s="1" t="s">
        <v>36</v>
      </c>
      <c r="G242" s="1" t="s">
        <v>36</v>
      </c>
      <c r="H242" s="56">
        <v>2</v>
      </c>
      <c r="I242" s="56" t="s">
        <v>524</v>
      </c>
      <c r="J242" s="1" t="s">
        <v>36</v>
      </c>
      <c r="K242" s="56">
        <v>2</v>
      </c>
      <c r="L242" s="56">
        <v>0.053</v>
      </c>
      <c r="M242" s="56" t="s">
        <v>40</v>
      </c>
      <c r="N242" s="1"/>
      <c r="O242" s="57">
        <f t="array" ref="O2">_xlfn._xlws.FILTER(Таблица4[Наименование],ISNUMBER(SEARCH('Спецификация для запроса ТУ'!C312,Таблица4[Наименование])),"")</f>
      </c>
    </row>
    <row r="243" spans="1:15" x14ac:dyDescent="0.25">
      <c r="A243" s="1" t="s">
        <v>36</v>
      </c>
      <c r="B243" s="56" t="s">
        <v>526</v>
      </c>
      <c r="C243" s="56" t="s">
        <v>527</v>
      </c>
      <c r="D243" s="1" t="s">
        <v>36</v>
      </c>
      <c r="E243" s="1" t="s">
        <v>36</v>
      </c>
      <c r="F243" s="1" t="s">
        <v>36</v>
      </c>
      <c r="G243" s="1" t="s">
        <v>36</v>
      </c>
      <c r="H243" s="56">
        <v>30</v>
      </c>
      <c r="I243" s="56" t="s">
        <v>528</v>
      </c>
      <c r="J243" s="1" t="s">
        <v>36</v>
      </c>
      <c r="K243" s="56" t="s">
        <v>40</v>
      </c>
      <c r="L243" s="56">
        <v>0.372</v>
      </c>
      <c r="M243" s="56" t="s">
        <v>40</v>
      </c>
      <c r="N243" s="1"/>
      <c r="O243" s="57">
        <f t="array" ref="O2">_xlfn._xlws.FILTER(Таблица4[Наименование],ISNUMBER(SEARCH('Спецификация для запроса ТУ'!C312,Таблица4[Наименование])),"")</f>
      </c>
    </row>
    <row r="244" spans="1:15" x14ac:dyDescent="0.25">
      <c r="A244" s="1" t="s">
        <v>36</v>
      </c>
      <c r="B244" s="56" t="s">
        <v>529</v>
      </c>
      <c r="C244" s="56" t="s">
        <v>527</v>
      </c>
      <c r="D244" s="1" t="s">
        <v>36</v>
      </c>
      <c r="E244" s="1" t="s">
        <v>36</v>
      </c>
      <c r="F244" s="1" t="s">
        <v>36</v>
      </c>
      <c r="G244" s="1" t="s">
        <v>36</v>
      </c>
      <c r="H244" s="56">
        <v>87</v>
      </c>
      <c r="I244" s="56" t="s">
        <v>530</v>
      </c>
      <c r="J244" s="1" t="s">
        <v>36</v>
      </c>
      <c r="K244" s="56" t="s">
        <v>40</v>
      </c>
      <c r="L244" s="56">
        <v>0.42</v>
      </c>
      <c r="M244" s="56" t="s">
        <v>531</v>
      </c>
      <c r="N244" s="1"/>
      <c r="O244" s="57">
        <f t="array" ref="O2">_xlfn._xlws.FILTER(Таблица4[Наименование],ISNUMBER(SEARCH('Спецификация для запроса ТУ'!C312,Таблица4[Наименование])),"")</f>
      </c>
    </row>
    <row r="245" spans="1:15" x14ac:dyDescent="0.25">
      <c r="A245" s="1" t="s">
        <v>36</v>
      </c>
      <c r="B245" s="56" t="s">
        <v>532</v>
      </c>
      <c r="C245" s="56" t="s">
        <v>527</v>
      </c>
      <c r="D245" s="1" t="s">
        <v>36</v>
      </c>
      <c r="E245" s="1" t="s">
        <v>36</v>
      </c>
      <c r="F245" s="1" t="s">
        <v>36</v>
      </c>
      <c r="G245" s="1" t="s">
        <v>36</v>
      </c>
      <c r="H245" s="56">
        <v>107</v>
      </c>
      <c r="I245" s="56" t="s">
        <v>530</v>
      </c>
      <c r="J245" s="1" t="s">
        <v>36</v>
      </c>
      <c r="K245" s="56" t="s">
        <v>40</v>
      </c>
      <c r="L245" s="56">
        <v>0.42</v>
      </c>
      <c r="M245" s="56" t="s">
        <v>531</v>
      </c>
      <c r="N245" s="1"/>
      <c r="O245" s="57">
        <f t="array" ref="O2">_xlfn._xlws.FILTER(Таблица4[Наименование],ISNUMBER(SEARCH('Спецификация для запроса ТУ'!C312,Таблица4[Наименование])),"")</f>
      </c>
    </row>
    <row r="246" spans="1:15" x14ac:dyDescent="0.25">
      <c r="A246" s="1" t="s">
        <v>36</v>
      </c>
      <c r="B246" s="56" t="s">
        <v>533</v>
      </c>
      <c r="C246" s="56" t="s">
        <v>527</v>
      </c>
      <c r="D246" s="1" t="s">
        <v>36</v>
      </c>
      <c r="E246" s="1" t="s">
        <v>36</v>
      </c>
      <c r="F246" s="1" t="s">
        <v>36</v>
      </c>
      <c r="G246" s="1" t="s">
        <v>36</v>
      </c>
      <c r="H246" s="56">
        <v>34</v>
      </c>
      <c r="I246" s="56" t="s">
        <v>534</v>
      </c>
      <c r="J246" s="1" t="s">
        <v>36</v>
      </c>
      <c r="K246" s="56" t="s">
        <v>40</v>
      </c>
      <c r="L246" s="56">
        <v>0.234</v>
      </c>
      <c r="M246" s="56" t="s">
        <v>40</v>
      </c>
      <c r="N246" s="1"/>
      <c r="O246" s="57">
        <f t="array" ref="O2">_xlfn._xlws.FILTER(Таблица4[Наименование],ISNUMBER(SEARCH('Спецификация для запроса ТУ'!C312,Таблица4[Наименование])),"")</f>
      </c>
    </row>
    <row r="247" spans="1:15" x14ac:dyDescent="0.25">
      <c r="A247" s="1" t="s">
        <v>36</v>
      </c>
      <c r="B247" s="56" t="s">
        <v>535</v>
      </c>
      <c r="C247" s="56" t="s">
        <v>527</v>
      </c>
      <c r="D247" s="1" t="s">
        <v>36</v>
      </c>
      <c r="E247" s="1" t="s">
        <v>36</v>
      </c>
      <c r="F247" s="1" t="s">
        <v>36</v>
      </c>
      <c r="G247" s="1" t="s">
        <v>36</v>
      </c>
      <c r="H247" s="56">
        <v>39</v>
      </c>
      <c r="I247" s="56" t="s">
        <v>536</v>
      </c>
      <c r="J247" s="1" t="s">
        <v>36</v>
      </c>
      <c r="K247" s="56" t="s">
        <v>40</v>
      </c>
      <c r="L247" s="56">
        <v>0.258</v>
      </c>
      <c r="M247" s="56" t="s">
        <v>40</v>
      </c>
      <c r="N247" s="1"/>
      <c r="O247" s="57">
        <f t="array" ref="O2">_xlfn._xlws.FILTER(Таблица4[Наименование],ISNUMBER(SEARCH('Спецификация для запроса ТУ'!C312,Таблица4[Наименование])),"")</f>
      </c>
    </row>
    <row r="248" spans="1:15" x14ac:dyDescent="0.25">
      <c r="A248" s="1" t="s">
        <v>36</v>
      </c>
      <c r="B248" s="56" t="s">
        <v>537</v>
      </c>
      <c r="C248" s="56" t="s">
        <v>527</v>
      </c>
      <c r="D248" s="1" t="s">
        <v>36</v>
      </c>
      <c r="E248" s="1" t="s">
        <v>36</v>
      </c>
      <c r="F248" s="1" t="s">
        <v>36</v>
      </c>
      <c r="G248" s="1" t="s">
        <v>36</v>
      </c>
      <c r="H248" s="56">
        <v>190</v>
      </c>
      <c r="I248" s="56" t="s">
        <v>538</v>
      </c>
      <c r="J248" s="1" t="s">
        <v>36</v>
      </c>
      <c r="K248" s="56" t="s">
        <v>40</v>
      </c>
      <c r="L248" s="56">
        <v>0.609</v>
      </c>
      <c r="M248" s="56" t="s">
        <v>40</v>
      </c>
      <c r="N248" s="1"/>
      <c r="O248" s="57">
        <f t="array" ref="O2">_xlfn._xlws.FILTER(Таблица4[Наименование],ISNUMBER(SEARCH('Спецификация для запроса ТУ'!C312,Таблица4[Наименование])),"")</f>
      </c>
    </row>
    <row r="249" spans="1:15" x14ac:dyDescent="0.25">
      <c r="A249" s="1" t="s">
        <v>36</v>
      </c>
      <c r="B249" s="56" t="s">
        <v>539</v>
      </c>
      <c r="C249" s="56" t="s">
        <v>527</v>
      </c>
      <c r="D249" s="1" t="s">
        <v>36</v>
      </c>
      <c r="E249" s="1" t="s">
        <v>36</v>
      </c>
      <c r="F249" s="1" t="s">
        <v>36</v>
      </c>
      <c r="G249" s="1" t="s">
        <v>36</v>
      </c>
      <c r="H249" s="56">
        <v>190</v>
      </c>
      <c r="I249" s="56" t="s">
        <v>540</v>
      </c>
      <c r="J249" s="1" t="s">
        <v>36</v>
      </c>
      <c r="K249" s="56" t="s">
        <v>40</v>
      </c>
      <c r="L249" s="56">
        <v>0.65</v>
      </c>
      <c r="M249" s="56" t="s">
        <v>40</v>
      </c>
      <c r="N249" s="1"/>
      <c r="O249" s="57">
        <f t="array" ref="O2">_xlfn._xlws.FILTER(Таблица4[Наименование],ISNUMBER(SEARCH('Спецификация для запроса ТУ'!C312,Таблица4[Наименование])),"")</f>
      </c>
    </row>
    <row r="250" spans="1:15" x14ac:dyDescent="0.25">
      <c r="A250" s="1" t="s">
        <v>36</v>
      </c>
      <c r="B250" s="56" t="s">
        <v>541</v>
      </c>
      <c r="C250" s="56" t="s">
        <v>527</v>
      </c>
      <c r="D250" s="1" t="s">
        <v>36</v>
      </c>
      <c r="E250" s="1" t="s">
        <v>36</v>
      </c>
      <c r="F250" s="1" t="s">
        <v>36</v>
      </c>
      <c r="G250" s="1" t="s">
        <v>36</v>
      </c>
      <c r="H250" s="56">
        <v>70</v>
      </c>
      <c r="I250" s="56" t="s">
        <v>542</v>
      </c>
      <c r="J250" s="1" t="s">
        <v>36</v>
      </c>
      <c r="K250" s="56" t="s">
        <v>40</v>
      </c>
      <c r="L250" s="56">
        <v>0.325</v>
      </c>
      <c r="M250" s="56" t="s">
        <v>543</v>
      </c>
      <c r="N250" s="1"/>
      <c r="O250" s="57">
        <f t="array" ref="O2">_xlfn._xlws.FILTER(Таблица4[Наименование],ISNUMBER(SEARCH('Спецификация для запроса ТУ'!C312,Таблица4[Наименование])),"")</f>
      </c>
    </row>
    <row r="251" spans="1:15" x14ac:dyDescent="0.25">
      <c r="A251" s="1" t="s">
        <v>36</v>
      </c>
      <c r="B251" s="56" t="s">
        <v>544</v>
      </c>
      <c r="C251" s="56" t="s">
        <v>527</v>
      </c>
      <c r="D251" s="1" t="s">
        <v>36</v>
      </c>
      <c r="E251" s="1" t="s">
        <v>36</v>
      </c>
      <c r="F251" s="1" t="s">
        <v>36</v>
      </c>
      <c r="G251" s="1" t="s">
        <v>36</v>
      </c>
      <c r="H251" s="56">
        <v>168</v>
      </c>
      <c r="I251" s="56" t="s">
        <v>538</v>
      </c>
      <c r="J251" s="1" t="s">
        <v>36</v>
      </c>
      <c r="K251" s="56" t="s">
        <v>40</v>
      </c>
      <c r="L251" s="56">
        <v>0.609</v>
      </c>
      <c r="M251" s="56" t="s">
        <v>40</v>
      </c>
      <c r="N251" s="1"/>
      <c r="O251" s="57">
        <f t="array" ref="O2">_xlfn._xlws.FILTER(Таблица4[Наименование],ISNUMBER(SEARCH('Спецификация для запроса ТУ'!C312,Таблица4[Наименование])),"")</f>
      </c>
    </row>
    <row r="252" spans="1:15" x14ac:dyDescent="0.25">
      <c r="A252" s="1" t="s">
        <v>36</v>
      </c>
      <c r="B252" s="56" t="s">
        <v>545</v>
      </c>
      <c r="C252" s="56" t="s">
        <v>527</v>
      </c>
      <c r="D252" s="1" t="s">
        <v>36</v>
      </c>
      <c r="E252" s="1" t="s">
        <v>36</v>
      </c>
      <c r="F252" s="1" t="s">
        <v>36</v>
      </c>
      <c r="G252" s="1" t="s">
        <v>36</v>
      </c>
      <c r="H252" s="56">
        <v>115</v>
      </c>
      <c r="I252" s="56" t="s">
        <v>538</v>
      </c>
      <c r="J252" s="1" t="s">
        <v>36</v>
      </c>
      <c r="K252" s="56" t="s">
        <v>40</v>
      </c>
      <c r="L252" s="56">
        <v>0.609</v>
      </c>
      <c r="M252" s="56" t="s">
        <v>40</v>
      </c>
      <c r="N252" s="1"/>
      <c r="O252" s="57">
        <f t="array" ref="O2">_xlfn._xlws.FILTER(Таблица4[Наименование],ISNUMBER(SEARCH('Спецификация для запроса ТУ'!C312,Таблица4[Наименование])),"")</f>
      </c>
    </row>
    <row r="253" spans="1:15" x14ac:dyDescent="0.25">
      <c r="A253" s="1" t="s">
        <v>36</v>
      </c>
      <c r="B253" s="56" t="s">
        <v>546</v>
      </c>
      <c r="C253" s="56" t="s">
        <v>527</v>
      </c>
      <c r="D253" s="1" t="s">
        <v>36</v>
      </c>
      <c r="E253" s="1" t="s">
        <v>36</v>
      </c>
      <c r="F253" s="1" t="s">
        <v>36</v>
      </c>
      <c r="G253" s="1" t="s">
        <v>36</v>
      </c>
      <c r="H253" s="56">
        <v>25</v>
      </c>
      <c r="I253" s="56" t="s">
        <v>547</v>
      </c>
      <c r="J253" s="1" t="s">
        <v>36</v>
      </c>
      <c r="K253" s="56" t="s">
        <v>40</v>
      </c>
      <c r="L253" s="56">
        <v>0.416</v>
      </c>
      <c r="M253" s="56" t="s">
        <v>548</v>
      </c>
      <c r="N253" s="1"/>
      <c r="O253" s="57">
        <f t="array" ref="O2">_xlfn._xlws.FILTER(Таблица4[Наименование],ISNUMBER(SEARCH('Спецификация для запроса ТУ'!C312,Таблица4[Наименование])),"")</f>
      </c>
    </row>
    <row r="254" spans="1:15" x14ac:dyDescent="0.25">
      <c r="A254" s="1" t="s">
        <v>36</v>
      </c>
      <c r="B254" s="56" t="s">
        <v>549</v>
      </c>
      <c r="C254" s="56" t="s">
        <v>527</v>
      </c>
      <c r="D254" s="1" t="s">
        <v>36</v>
      </c>
      <c r="E254" s="1" t="s">
        <v>36</v>
      </c>
      <c r="F254" s="1" t="s">
        <v>36</v>
      </c>
      <c r="G254" s="1" t="s">
        <v>36</v>
      </c>
      <c r="H254" s="56">
        <v>115</v>
      </c>
      <c r="I254" s="56" t="s">
        <v>538</v>
      </c>
      <c r="J254" s="1" t="s">
        <v>36</v>
      </c>
      <c r="K254" s="56" t="s">
        <v>40</v>
      </c>
      <c r="L254" s="56">
        <v>0.609</v>
      </c>
      <c r="M254" s="56" t="s">
        <v>40</v>
      </c>
      <c r="N254" s="1"/>
      <c r="O254" s="57">
        <f t="array" ref="O2">_xlfn._xlws.FILTER(Таблица4[Наименование],ISNUMBER(SEARCH('Спецификация для запроса ТУ'!C312,Таблица4[Наименование])),"")</f>
      </c>
    </row>
    <row r="255" spans="1:15" x14ac:dyDescent="0.25">
      <c r="A255" s="1" t="s">
        <v>36</v>
      </c>
      <c r="B255" s="56" t="s">
        <v>550</v>
      </c>
      <c r="C255" s="56" t="s">
        <v>527</v>
      </c>
      <c r="D255" s="1" t="s">
        <v>36</v>
      </c>
      <c r="E255" s="1" t="s">
        <v>36</v>
      </c>
      <c r="F255" s="1" t="s">
        <v>36</v>
      </c>
      <c r="G255" s="1" t="s">
        <v>36</v>
      </c>
      <c r="H255" s="56">
        <v>200</v>
      </c>
      <c r="I255" s="56" t="s">
        <v>551</v>
      </c>
      <c r="J255" s="1" t="s">
        <v>36</v>
      </c>
      <c r="K255" s="56" t="s">
        <v>40</v>
      </c>
      <c r="L255" s="56">
        <v>0.6</v>
      </c>
      <c r="M255" s="56" t="s">
        <v>40</v>
      </c>
      <c r="N255" s="1"/>
      <c r="O255" s="57">
        <f t="array" ref="O2">_xlfn._xlws.FILTER(Таблица4[Наименование],ISNUMBER(SEARCH('Спецификация для запроса ТУ'!C312,Таблица4[Наименование])),"")</f>
      </c>
    </row>
    <row r="256" spans="1:15" x14ac:dyDescent="0.25">
      <c r="A256" s="1" t="s">
        <v>36</v>
      </c>
      <c r="B256" s="56" t="s">
        <v>552</v>
      </c>
      <c r="C256" s="56" t="s">
        <v>527</v>
      </c>
      <c r="D256" s="1" t="s">
        <v>36</v>
      </c>
      <c r="E256" s="1" t="s">
        <v>36</v>
      </c>
      <c r="F256" s="1" t="s">
        <v>36</v>
      </c>
      <c r="G256" s="1" t="s">
        <v>36</v>
      </c>
      <c r="H256" s="56">
        <v>250</v>
      </c>
      <c r="I256" s="56" t="s">
        <v>551</v>
      </c>
      <c r="J256" s="1" t="s">
        <v>36</v>
      </c>
      <c r="K256" s="56" t="s">
        <v>40</v>
      </c>
      <c r="L256" s="56">
        <v>0.6</v>
      </c>
      <c r="M256" s="56" t="s">
        <v>40</v>
      </c>
      <c r="N256" s="1"/>
      <c r="O256" s="57">
        <f t="array" ref="O2">_xlfn._xlws.FILTER(Таблица4[Наименование],ISNUMBER(SEARCH('Спецификация для запроса ТУ'!C312,Таблица4[Наименование])),"")</f>
      </c>
    </row>
    <row r="257" spans="1:15" x14ac:dyDescent="0.25">
      <c r="A257" s="1" t="s">
        <v>36</v>
      </c>
      <c r="B257" s="56" t="s">
        <v>553</v>
      </c>
      <c r="C257" s="56" t="s">
        <v>527</v>
      </c>
      <c r="D257" s="1" t="s">
        <v>36</v>
      </c>
      <c r="E257" s="1" t="s">
        <v>36</v>
      </c>
      <c r="F257" s="1" t="s">
        <v>36</v>
      </c>
      <c r="G257" s="1" t="s">
        <v>36</v>
      </c>
      <c r="H257" s="56">
        <v>200</v>
      </c>
      <c r="I257" s="56" t="s">
        <v>554</v>
      </c>
      <c r="J257" s="1" t="s">
        <v>36</v>
      </c>
      <c r="K257" s="56" t="s">
        <v>40</v>
      </c>
      <c r="L257" s="56">
        <v>0.915</v>
      </c>
      <c r="M257" s="56" t="s">
        <v>555</v>
      </c>
      <c r="N257" s="1"/>
      <c r="O257" s="57">
        <f t="array" ref="O2">_xlfn._xlws.FILTER(Таблица4[Наименование],ISNUMBER(SEARCH('Спецификация для запроса ТУ'!C312,Таблица4[Наименование])),"")</f>
      </c>
    </row>
    <row r="258" spans="1:15" x14ac:dyDescent="0.25">
      <c r="A258" s="1" t="s">
        <v>36</v>
      </c>
      <c r="B258" s="56" t="s">
        <v>556</v>
      </c>
      <c r="C258" s="56" t="s">
        <v>527</v>
      </c>
      <c r="D258" s="1" t="s">
        <v>36</v>
      </c>
      <c r="E258" s="1" t="s">
        <v>36</v>
      </c>
      <c r="F258" s="1" t="s">
        <v>36</v>
      </c>
      <c r="G258" s="1" t="s">
        <v>36</v>
      </c>
      <c r="H258" s="56">
        <v>200</v>
      </c>
      <c r="I258" s="56" t="s">
        <v>557</v>
      </c>
      <c r="J258" s="1" t="s">
        <v>36</v>
      </c>
      <c r="K258" s="56" t="s">
        <v>40</v>
      </c>
      <c r="L258" s="56">
        <v>0.94</v>
      </c>
      <c r="M258" s="56" t="s">
        <v>558</v>
      </c>
      <c r="N258" s="1"/>
      <c r="O258" s="57">
        <f t="array" ref="O2">_xlfn._xlws.FILTER(Таблица4[Наименование],ISNUMBER(SEARCH('Спецификация для запроса ТУ'!C312,Таблица4[Наименование])),"")</f>
      </c>
    </row>
    <row r="259" spans="1:15" x14ac:dyDescent="0.25">
      <c r="A259" s="1" t="s">
        <v>36</v>
      </c>
      <c r="B259" s="56" t="s">
        <v>559</v>
      </c>
      <c r="C259" s="56" t="s">
        <v>527</v>
      </c>
      <c r="D259" s="1" t="s">
        <v>36</v>
      </c>
      <c r="E259" s="1" t="s">
        <v>36</v>
      </c>
      <c r="F259" s="1" t="s">
        <v>36</v>
      </c>
      <c r="G259" s="1" t="s">
        <v>36</v>
      </c>
      <c r="H259" s="56">
        <v>80</v>
      </c>
      <c r="I259" s="56" t="s">
        <v>560</v>
      </c>
      <c r="J259" s="1" t="s">
        <v>36</v>
      </c>
      <c r="K259" s="56" t="s">
        <v>40</v>
      </c>
      <c r="L259" s="56">
        <v>0.484</v>
      </c>
      <c r="M259" s="56" t="s">
        <v>40</v>
      </c>
      <c r="N259" s="1"/>
      <c r="O259" s="57">
        <f t="array" ref="O2">_xlfn._xlws.FILTER(Таблица4[Наименование],ISNUMBER(SEARCH('Спецификация для запроса ТУ'!C312,Таблица4[Наименование])),"")</f>
      </c>
    </row>
    <row r="260" spans="1:15" x14ac:dyDescent="0.25">
      <c r="A260" s="1" t="s">
        <v>36</v>
      </c>
      <c r="B260" s="56" t="s">
        <v>561</v>
      </c>
      <c r="C260" s="56" t="s">
        <v>527</v>
      </c>
      <c r="D260" s="1" t="s">
        <v>36</v>
      </c>
      <c r="E260" s="1" t="s">
        <v>36</v>
      </c>
      <c r="F260" s="1" t="s">
        <v>36</v>
      </c>
      <c r="G260" s="1" t="s">
        <v>36</v>
      </c>
      <c r="H260" s="56">
        <v>219</v>
      </c>
      <c r="I260" s="56" t="s">
        <v>562</v>
      </c>
      <c r="J260" s="1" t="s">
        <v>36</v>
      </c>
      <c r="K260" s="56" t="s">
        <v>40</v>
      </c>
      <c r="L260" s="56">
        <v>0.841</v>
      </c>
      <c r="M260" s="56" t="s">
        <v>40</v>
      </c>
      <c r="N260" s="1"/>
      <c r="O260" s="57">
        <f t="array" ref="O2">_xlfn._xlws.FILTER(Таблица4[Наименование],ISNUMBER(SEARCH('Спецификация для запроса ТУ'!C312,Таблица4[Наименование])),"")</f>
      </c>
    </row>
    <row r="261" spans="1:15" x14ac:dyDescent="0.25">
      <c r="A261" s="1" t="s">
        <v>36</v>
      </c>
      <c r="B261" s="56" t="s">
        <v>563</v>
      </c>
      <c r="C261" s="56" t="s">
        <v>527</v>
      </c>
      <c r="D261" s="1" t="s">
        <v>36</v>
      </c>
      <c r="E261" s="1" t="s">
        <v>36</v>
      </c>
      <c r="F261" s="1" t="s">
        <v>36</v>
      </c>
      <c r="G261" s="1" t="s">
        <v>36</v>
      </c>
      <c r="H261" s="56">
        <v>200</v>
      </c>
      <c r="I261" s="56" t="s">
        <v>564</v>
      </c>
      <c r="J261" s="1" t="s">
        <v>36</v>
      </c>
      <c r="K261" s="56" t="s">
        <v>40</v>
      </c>
      <c r="L261" s="56">
        <v>0.825</v>
      </c>
      <c r="M261" s="56" t="s">
        <v>40</v>
      </c>
      <c r="N261" s="1"/>
      <c r="O261" s="57">
        <f t="array" ref="O2">_xlfn._xlws.FILTER(Таблица4[Наименование],ISNUMBER(SEARCH('Спецификация для запроса ТУ'!C312,Таблица4[Наименование])),"")</f>
      </c>
    </row>
    <row r="262" spans="1:15" x14ac:dyDescent="0.25">
      <c r="A262" s="1" t="s">
        <v>36</v>
      </c>
      <c r="B262" s="56" t="s">
        <v>565</v>
      </c>
      <c r="C262" s="56" t="s">
        <v>527</v>
      </c>
      <c r="D262" s="1" t="s">
        <v>36</v>
      </c>
      <c r="E262" s="1" t="s">
        <v>36</v>
      </c>
      <c r="F262" s="1" t="s">
        <v>36</v>
      </c>
      <c r="G262" s="1" t="s">
        <v>36</v>
      </c>
      <c r="H262" s="56">
        <v>150</v>
      </c>
      <c r="I262" s="56" t="s">
        <v>566</v>
      </c>
      <c r="J262" s="1" t="s">
        <v>36</v>
      </c>
      <c r="K262" s="56" t="s">
        <v>40</v>
      </c>
      <c r="L262" s="56">
        <v>1.463</v>
      </c>
      <c r="M262" s="56" t="s">
        <v>567</v>
      </c>
      <c r="N262" s="1"/>
      <c r="O262" s="57">
        <f t="array" ref="O2">_xlfn._xlws.FILTER(Таблица4[Наименование],ISNUMBER(SEARCH('Спецификация для запроса ТУ'!C312,Таблица4[Наименование])),"")</f>
      </c>
    </row>
    <row r="263" spans="1:15" x14ac:dyDescent="0.25">
      <c r="A263" s="1" t="s">
        <v>36</v>
      </c>
      <c r="B263" s="56" t="s">
        <v>568</v>
      </c>
      <c r="C263" s="56" t="s">
        <v>527</v>
      </c>
      <c r="D263" s="1" t="s">
        <v>36</v>
      </c>
      <c r="E263" s="1" t="s">
        <v>36</v>
      </c>
      <c r="F263" s="1" t="s">
        <v>36</v>
      </c>
      <c r="G263" s="1" t="s">
        <v>36</v>
      </c>
      <c r="H263" s="56">
        <v>200</v>
      </c>
      <c r="I263" s="56" t="s">
        <v>569</v>
      </c>
      <c r="J263" s="1" t="s">
        <v>36</v>
      </c>
      <c r="K263" s="56" t="s">
        <v>40</v>
      </c>
      <c r="L263" s="56">
        <v>0.645</v>
      </c>
      <c r="M263" s="56" t="s">
        <v>570</v>
      </c>
      <c r="N263" s="1"/>
      <c r="O263" s="57">
        <f t="array" ref="O2">_xlfn._xlws.FILTER(Таблица4[Наименование],ISNUMBER(SEARCH('Спецификация для запроса ТУ'!C312,Таблица4[Наименование])),"")</f>
      </c>
    </row>
    <row r="264" spans="1:15" x14ac:dyDescent="0.25">
      <c r="A264" s="1" t="s">
        <v>36</v>
      </c>
      <c r="B264" s="56" t="s">
        <v>571</v>
      </c>
      <c r="C264" s="56" t="s">
        <v>527</v>
      </c>
      <c r="D264" s="1" t="s">
        <v>36</v>
      </c>
      <c r="E264" s="1" t="s">
        <v>36</v>
      </c>
      <c r="F264" s="1" t="s">
        <v>36</v>
      </c>
      <c r="G264" s="1" t="s">
        <v>36</v>
      </c>
      <c r="H264" s="56">
        <v>250</v>
      </c>
      <c r="I264" s="56" t="s">
        <v>569</v>
      </c>
      <c r="J264" s="1" t="s">
        <v>36</v>
      </c>
      <c r="K264" s="56" t="s">
        <v>40</v>
      </c>
      <c r="L264" s="56">
        <v>0.645</v>
      </c>
      <c r="M264" s="56" t="s">
        <v>570</v>
      </c>
      <c r="N264" s="1"/>
      <c r="O264" s="57">
        <f t="array" ref="O2">_xlfn._xlws.FILTER(Таблица4[Наименование],ISNUMBER(SEARCH('Спецификация для запроса ТУ'!C312,Таблица4[Наименование])),"")</f>
      </c>
    </row>
    <row r="265" spans="1:15" x14ac:dyDescent="0.25">
      <c r="A265" s="1" t="s">
        <v>36</v>
      </c>
      <c r="B265" s="56" t="s">
        <v>572</v>
      </c>
      <c r="C265" s="56" t="s">
        <v>527</v>
      </c>
      <c r="D265" s="1" t="s">
        <v>36</v>
      </c>
      <c r="E265" s="1" t="s">
        <v>36</v>
      </c>
      <c r="F265" s="1" t="s">
        <v>36</v>
      </c>
      <c r="G265" s="1" t="s">
        <v>36</v>
      </c>
      <c r="H265" s="56">
        <v>200</v>
      </c>
      <c r="I265" s="56" t="s">
        <v>573</v>
      </c>
      <c r="J265" s="1" t="s">
        <v>36</v>
      </c>
      <c r="K265" s="56" t="s">
        <v>40</v>
      </c>
      <c r="L265" s="56">
        <v>0.784</v>
      </c>
      <c r="M265" s="56" t="s">
        <v>40</v>
      </c>
      <c r="N265" s="1"/>
      <c r="O265" s="57">
        <f t="array" ref="O2">_xlfn._xlws.FILTER(Таблица4[Наименование],ISNUMBER(SEARCH('Спецификация для запроса ТУ'!C312,Таблица4[Наименование])),"")</f>
      </c>
    </row>
    <row r="266" spans="1:15" x14ac:dyDescent="0.25">
      <c r="A266" s="1" t="s">
        <v>36</v>
      </c>
      <c r="B266" s="56" t="s">
        <v>574</v>
      </c>
      <c r="C266" s="56" t="s">
        <v>527</v>
      </c>
      <c r="D266" s="1" t="s">
        <v>36</v>
      </c>
      <c r="E266" s="1" t="s">
        <v>36</v>
      </c>
      <c r="F266" s="1" t="s">
        <v>36</v>
      </c>
      <c r="G266" s="1" t="s">
        <v>36</v>
      </c>
      <c r="H266" s="56">
        <v>250</v>
      </c>
      <c r="I266" s="56" t="s">
        <v>573</v>
      </c>
      <c r="J266" s="1" t="s">
        <v>36</v>
      </c>
      <c r="K266" s="56" t="s">
        <v>40</v>
      </c>
      <c r="L266" s="56">
        <v>0.784</v>
      </c>
      <c r="M266" s="56" t="s">
        <v>40</v>
      </c>
      <c r="N266" s="1"/>
      <c r="O266" s="57">
        <f t="array" ref="O2">_xlfn._xlws.FILTER(Таблица4[Наименование],ISNUMBER(SEARCH('Спецификация для запроса ТУ'!C312,Таблица4[Наименование])),"")</f>
      </c>
    </row>
    <row r="267" spans="1:15" x14ac:dyDescent="0.25">
      <c r="A267" s="1" t="s">
        <v>36</v>
      </c>
      <c r="B267" s="56" t="s">
        <v>575</v>
      </c>
      <c r="C267" s="56" t="s">
        <v>527</v>
      </c>
      <c r="D267" s="1" t="s">
        <v>36</v>
      </c>
      <c r="E267" s="1" t="s">
        <v>36</v>
      </c>
      <c r="F267" s="1" t="s">
        <v>36</v>
      </c>
      <c r="G267" s="1" t="s">
        <v>36</v>
      </c>
      <c r="H267" s="56">
        <v>80</v>
      </c>
      <c r="I267" s="56" t="s">
        <v>576</v>
      </c>
      <c r="J267" s="1" t="s">
        <v>36</v>
      </c>
      <c r="K267" s="56" t="s">
        <v>40</v>
      </c>
      <c r="L267" s="56">
        <v>0.588</v>
      </c>
      <c r="M267" s="56" t="s">
        <v>40</v>
      </c>
      <c r="N267" s="1"/>
      <c r="O267" s="57">
        <f t="array" ref="O2">_xlfn._xlws.FILTER(Таблица4[Наименование],ISNUMBER(SEARCH('Спецификация для запроса ТУ'!C312,Таблица4[Наименование])),"")</f>
      </c>
    </row>
    <row r="268" spans="1:15" x14ac:dyDescent="0.25">
      <c r="A268" s="1" t="s">
        <v>36</v>
      </c>
      <c r="B268" s="56" t="s">
        <v>577</v>
      </c>
      <c r="C268" s="56" t="s">
        <v>527</v>
      </c>
      <c r="D268" s="1" t="s">
        <v>36</v>
      </c>
      <c r="E268" s="1" t="s">
        <v>36</v>
      </c>
      <c r="F268" s="1" t="s">
        <v>36</v>
      </c>
      <c r="G268" s="1" t="s">
        <v>36</v>
      </c>
      <c r="H268" s="56">
        <v>48</v>
      </c>
      <c r="I268" s="56" t="s">
        <v>578</v>
      </c>
      <c r="J268" s="1" t="s">
        <v>36</v>
      </c>
      <c r="K268" s="56" t="s">
        <v>40</v>
      </c>
      <c r="L268" s="56">
        <v>0.475</v>
      </c>
      <c r="M268" s="56" t="s">
        <v>40</v>
      </c>
      <c r="N268" s="1"/>
      <c r="O268" s="57">
        <f t="array" ref="O2">_xlfn._xlws.FILTER(Таблица4[Наименование],ISNUMBER(SEARCH('Спецификация для запроса ТУ'!C312,Таблица4[Наименование])),"")</f>
      </c>
    </row>
    <row r="269" spans="1:15" x14ac:dyDescent="0.25">
      <c r="A269" s="1" t="s">
        <v>36</v>
      </c>
      <c r="B269" s="56" t="s">
        <v>579</v>
      </c>
      <c r="C269" s="56" t="s">
        <v>527</v>
      </c>
      <c r="D269" s="1" t="s">
        <v>36</v>
      </c>
      <c r="E269" s="1" t="s">
        <v>36</v>
      </c>
      <c r="F269" s="1" t="s">
        <v>36</v>
      </c>
      <c r="G269" s="1" t="s">
        <v>36</v>
      </c>
      <c r="H269" s="56">
        <v>200</v>
      </c>
      <c r="I269" s="56" t="s">
        <v>580</v>
      </c>
      <c r="J269" s="1" t="s">
        <v>36</v>
      </c>
      <c r="K269" s="56" t="s">
        <v>40</v>
      </c>
      <c r="L269" s="56">
        <v>1.087</v>
      </c>
      <c r="M269" s="56" t="s">
        <v>581</v>
      </c>
      <c r="N269" s="1"/>
      <c r="O269" s="57">
        <f t="array" ref="O2">_xlfn._xlws.FILTER(Таблица4[Наименование],ISNUMBER(SEARCH('Спецификация для запроса ТУ'!C312,Таблица4[Наименование])),"")</f>
      </c>
    </row>
    <row r="270" spans="1:15" x14ac:dyDescent="0.25">
      <c r="A270" s="1" t="s">
        <v>36</v>
      </c>
      <c r="B270" s="56" t="s">
        <v>582</v>
      </c>
      <c r="C270" s="56" t="s">
        <v>527</v>
      </c>
      <c r="D270" s="1" t="s">
        <v>36</v>
      </c>
      <c r="E270" s="1" t="s">
        <v>36</v>
      </c>
      <c r="F270" s="1" t="s">
        <v>36</v>
      </c>
      <c r="G270" s="1" t="s">
        <v>36</v>
      </c>
      <c r="H270" s="56">
        <v>250</v>
      </c>
      <c r="I270" s="56" t="s">
        <v>583</v>
      </c>
      <c r="J270" s="1" t="s">
        <v>36</v>
      </c>
      <c r="K270" s="56" t="s">
        <v>40</v>
      </c>
      <c r="L270" s="56">
        <v>0.65</v>
      </c>
      <c r="M270" s="56" t="s">
        <v>40</v>
      </c>
      <c r="N270" s="1"/>
      <c r="O270" s="57">
        <f t="array" ref="O2">_xlfn._xlws.FILTER(Таблица4[Наименование],ISNUMBER(SEARCH('Спецификация для запроса ТУ'!C312,Таблица4[Наименование])),"")</f>
      </c>
    </row>
    <row r="271" spans="1:15" x14ac:dyDescent="0.25">
      <c r="A271" s="1" t="s">
        <v>36</v>
      </c>
      <c r="B271" s="56" t="s">
        <v>584</v>
      </c>
      <c r="C271" s="56" t="s">
        <v>527</v>
      </c>
      <c r="D271" s="1" t="s">
        <v>36</v>
      </c>
      <c r="E271" s="1" t="s">
        <v>36</v>
      </c>
      <c r="F271" s="1" t="s">
        <v>36</v>
      </c>
      <c r="G271" s="1" t="s">
        <v>36</v>
      </c>
      <c r="H271" s="56">
        <v>200</v>
      </c>
      <c r="I271" s="56" t="s">
        <v>583</v>
      </c>
      <c r="J271" s="1" t="s">
        <v>36</v>
      </c>
      <c r="K271" s="56" t="s">
        <v>40</v>
      </c>
      <c r="L271" s="56">
        <v>0.65</v>
      </c>
      <c r="M271" s="56" t="s">
        <v>40</v>
      </c>
      <c r="N271" s="1"/>
      <c r="O271" s="57">
        <f t="array" ref="O2">_xlfn._xlws.FILTER(Таблица4[Наименование],ISNUMBER(SEARCH('Спецификация для запроса ТУ'!C312,Таблица4[Наименование])),"")</f>
      </c>
    </row>
    <row r="272" spans="1:15" x14ac:dyDescent="0.25">
      <c r="A272" s="1" t="s">
        <v>36</v>
      </c>
      <c r="B272" s="56" t="s">
        <v>585</v>
      </c>
      <c r="C272" s="56" t="s">
        <v>527</v>
      </c>
      <c r="D272" s="1" t="s">
        <v>36</v>
      </c>
      <c r="E272" s="1" t="s">
        <v>36</v>
      </c>
      <c r="F272" s="1" t="s">
        <v>36</v>
      </c>
      <c r="G272" s="1" t="s">
        <v>36</v>
      </c>
      <c r="H272" s="56">
        <v>60</v>
      </c>
      <c r="I272" s="56" t="s">
        <v>586</v>
      </c>
      <c r="J272" s="1" t="s">
        <v>36</v>
      </c>
      <c r="K272" s="56" t="s">
        <v>40</v>
      </c>
      <c r="L272" s="56">
        <v>0.425</v>
      </c>
      <c r="M272" s="56" t="s">
        <v>587</v>
      </c>
      <c r="N272" s="1"/>
      <c r="O272" s="57">
        <f t="array" ref="O2">_xlfn._xlws.FILTER(Таблица4[Наименование],ISNUMBER(SEARCH('Спецификация для запроса ТУ'!C312,Таблица4[Наименование])),"")</f>
      </c>
    </row>
    <row r="273" spans="1:15" x14ac:dyDescent="0.25">
      <c r="A273" s="1" t="s">
        <v>36</v>
      </c>
      <c r="B273" s="56" t="s">
        <v>588</v>
      </c>
      <c r="C273" s="56" t="s">
        <v>527</v>
      </c>
      <c r="D273" s="1" t="s">
        <v>36</v>
      </c>
      <c r="E273" s="1" t="s">
        <v>36</v>
      </c>
      <c r="F273" s="1" t="s">
        <v>36</v>
      </c>
      <c r="G273" s="1" t="s">
        <v>36</v>
      </c>
      <c r="H273" s="56">
        <v>140</v>
      </c>
      <c r="I273" s="56" t="s">
        <v>589</v>
      </c>
      <c r="J273" s="1" t="s">
        <v>36</v>
      </c>
      <c r="K273" s="56" t="s">
        <v>40</v>
      </c>
      <c r="L273" s="56">
        <v>0.886</v>
      </c>
      <c r="M273" s="56" t="s">
        <v>587</v>
      </c>
      <c r="N273" s="1"/>
      <c r="O273" s="57">
        <f t="array" ref="O2">_xlfn._xlws.FILTER(Таблица4[Наименование],ISNUMBER(SEARCH('Спецификация для запроса ТУ'!C312,Таблица4[Наименование])),"")</f>
      </c>
    </row>
    <row r="274" spans="1:15" x14ac:dyDescent="0.25">
      <c r="A274" s="1" t="s">
        <v>36</v>
      </c>
      <c r="B274" s="56" t="s">
        <v>590</v>
      </c>
      <c r="C274" s="56" t="s">
        <v>527</v>
      </c>
      <c r="D274" s="1" t="s">
        <v>36</v>
      </c>
      <c r="E274" s="1" t="s">
        <v>36</v>
      </c>
      <c r="F274" s="1" t="s">
        <v>36</v>
      </c>
      <c r="G274" s="1" t="s">
        <v>36</v>
      </c>
      <c r="H274" s="56">
        <v>67</v>
      </c>
      <c r="I274" s="56" t="s">
        <v>591</v>
      </c>
      <c r="J274" s="1" t="s">
        <v>36</v>
      </c>
      <c r="K274" s="56" t="s">
        <v>40</v>
      </c>
      <c r="L274" s="56">
        <v>0.281</v>
      </c>
      <c r="M274" s="56" t="s">
        <v>40</v>
      </c>
      <c r="N274" s="1"/>
      <c r="O274" s="57">
        <f t="array" ref="O2">_xlfn._xlws.FILTER(Таблица4[Наименование],ISNUMBER(SEARCH('Спецификация для запроса ТУ'!C312,Таблица4[Наименование])),"")</f>
      </c>
    </row>
    <row r="275" spans="1:15" x14ac:dyDescent="0.25">
      <c r="A275" s="1" t="s">
        <v>36</v>
      </c>
      <c r="B275" s="56" t="s">
        <v>592</v>
      </c>
      <c r="C275" s="56" t="s">
        <v>527</v>
      </c>
      <c r="D275" s="1" t="s">
        <v>36</v>
      </c>
      <c r="E275" s="1" t="s">
        <v>36</v>
      </c>
      <c r="F275" s="1" t="s">
        <v>36</v>
      </c>
      <c r="G275" s="1" t="s">
        <v>36</v>
      </c>
      <c r="H275" s="56">
        <v>25</v>
      </c>
      <c r="I275" s="56" t="s">
        <v>593</v>
      </c>
      <c r="J275" s="1" t="s">
        <v>36</v>
      </c>
      <c r="K275" s="56" t="s">
        <v>40</v>
      </c>
      <c r="L275" s="56">
        <v>0.314</v>
      </c>
      <c r="M275" s="56" t="s">
        <v>40</v>
      </c>
      <c r="N275" s="1"/>
      <c r="O275" s="57">
        <f t="array" ref="O2">_xlfn._xlws.FILTER(Таблица4[Наименование],ISNUMBER(SEARCH('Спецификация для запроса ТУ'!C312,Таблица4[Наименование])),"")</f>
      </c>
    </row>
    <row r="276" spans="1:15" x14ac:dyDescent="0.25">
      <c r="A276" s="1" t="s">
        <v>36</v>
      </c>
      <c r="B276" s="56" t="s">
        <v>594</v>
      </c>
      <c r="C276" s="56" t="s">
        <v>527</v>
      </c>
      <c r="D276" s="1" t="s">
        <v>36</v>
      </c>
      <c r="E276" s="1" t="s">
        <v>36</v>
      </c>
      <c r="F276" s="1" t="s">
        <v>36</v>
      </c>
      <c r="G276" s="1" t="s">
        <v>36</v>
      </c>
      <c r="H276" s="56">
        <v>200</v>
      </c>
      <c r="I276" s="56" t="s">
        <v>595</v>
      </c>
      <c r="J276" s="1" t="s">
        <v>36</v>
      </c>
      <c r="K276" s="56" t="s">
        <v>40</v>
      </c>
      <c r="L276" s="56">
        <v>0.721</v>
      </c>
      <c r="M276" s="56" t="s">
        <v>596</v>
      </c>
      <c r="N276" s="1"/>
      <c r="O276" s="57">
        <f t="array" ref="O2">_xlfn._xlws.FILTER(Таблица4[Наименование],ISNUMBER(SEARCH('Спецификация для запроса ТУ'!C312,Таблица4[Наименование])),"")</f>
      </c>
    </row>
    <row r="277" spans="1:15" x14ac:dyDescent="0.25">
      <c r="A277" s="1" t="s">
        <v>36</v>
      </c>
      <c r="B277" s="56" t="s">
        <v>597</v>
      </c>
      <c r="C277" s="56" t="s">
        <v>527</v>
      </c>
      <c r="D277" s="1" t="s">
        <v>36</v>
      </c>
      <c r="E277" s="1" t="s">
        <v>36</v>
      </c>
      <c r="F277" s="1" t="s">
        <v>36</v>
      </c>
      <c r="G277" s="1" t="s">
        <v>36</v>
      </c>
      <c r="H277" s="56">
        <v>200</v>
      </c>
      <c r="I277" s="56" t="s">
        <v>598</v>
      </c>
      <c r="J277" s="1" t="s">
        <v>36</v>
      </c>
      <c r="K277" s="56" t="s">
        <v>40</v>
      </c>
      <c r="L277" s="56">
        <v>0.975</v>
      </c>
      <c r="M277" s="56" t="s">
        <v>40</v>
      </c>
      <c r="N277" s="1"/>
      <c r="O277" s="57">
        <f t="array" ref="O2">_xlfn._xlws.FILTER(Таблица4[Наименование],ISNUMBER(SEARCH('Спецификация для запроса ТУ'!C312,Таблица4[Наименование])),"")</f>
      </c>
    </row>
    <row r="278" spans="1:15" x14ac:dyDescent="0.25">
      <c r="A278" s="1" t="s">
        <v>36</v>
      </c>
      <c r="B278" s="56" t="s">
        <v>599</v>
      </c>
      <c r="C278" s="56" t="s">
        <v>600</v>
      </c>
      <c r="D278" s="1" t="s">
        <v>36</v>
      </c>
      <c r="E278" s="1" t="s">
        <v>36</v>
      </c>
      <c r="F278" s="1" t="s">
        <v>36</v>
      </c>
      <c r="G278" s="1" t="s">
        <v>36</v>
      </c>
      <c r="H278" s="56">
        <v>5</v>
      </c>
      <c r="I278" s="56" t="s">
        <v>601</v>
      </c>
      <c r="J278" s="1" t="s">
        <v>36</v>
      </c>
      <c r="K278" s="56" t="s">
        <v>40</v>
      </c>
      <c r="L278" s="56">
        <v>0.063</v>
      </c>
      <c r="M278" s="56" t="s">
        <v>602</v>
      </c>
      <c r="N278" s="1"/>
      <c r="O278" s="57">
        <f t="array" ref="O2">_xlfn._xlws.FILTER(Таблица4[Наименование],ISNUMBER(SEARCH('Спецификация для запроса ТУ'!C312,Таблица4[Наименование])),"")</f>
      </c>
    </row>
    <row r="279" spans="1:15" x14ac:dyDescent="0.25">
      <c r="A279" s="1" t="s">
        <v>36</v>
      </c>
      <c r="B279" s="56" t="s">
        <v>603</v>
      </c>
      <c r="C279" s="56" t="s">
        <v>600</v>
      </c>
      <c r="D279" s="1" t="s">
        <v>36</v>
      </c>
      <c r="E279" s="1" t="s">
        <v>36</v>
      </c>
      <c r="F279" s="1" t="s">
        <v>36</v>
      </c>
      <c r="G279" s="1" t="s">
        <v>36</v>
      </c>
      <c r="H279" s="56">
        <v>37.5</v>
      </c>
      <c r="I279" s="56" t="s">
        <v>604</v>
      </c>
      <c r="J279" s="1" t="s">
        <v>36</v>
      </c>
      <c r="K279" s="56" t="s">
        <v>40</v>
      </c>
      <c r="L279" s="56">
        <v>0.154</v>
      </c>
      <c r="M279" s="56" t="s">
        <v>40</v>
      </c>
      <c r="N279" s="1"/>
      <c r="O279" s="57">
        <f t="array" ref="O2">_xlfn._xlws.FILTER(Таблица4[Наименование],ISNUMBER(SEARCH('Спецификация для запроса ТУ'!C312,Таблица4[Наименование])),"")</f>
      </c>
    </row>
    <row r="280" spans="1:15" x14ac:dyDescent="0.25">
      <c r="A280" s="1" t="s">
        <v>36</v>
      </c>
      <c r="B280" s="56" t="s">
        <v>605</v>
      </c>
      <c r="C280" s="56" t="s">
        <v>600</v>
      </c>
      <c r="D280" s="1" t="s">
        <v>36</v>
      </c>
      <c r="E280" s="1" t="s">
        <v>36</v>
      </c>
      <c r="F280" s="1" t="s">
        <v>36</v>
      </c>
      <c r="G280" s="1" t="s">
        <v>36</v>
      </c>
      <c r="H280" s="56">
        <v>13</v>
      </c>
      <c r="I280" s="56" t="s">
        <v>606</v>
      </c>
      <c r="J280" s="1" t="s">
        <v>36</v>
      </c>
      <c r="K280" s="56" t="s">
        <v>40</v>
      </c>
      <c r="L280" s="56">
        <v>0.154</v>
      </c>
      <c r="M280" s="56" t="s">
        <v>40</v>
      </c>
      <c r="N280" s="1"/>
      <c r="O280" s="57">
        <f t="array" ref="O2">_xlfn._xlws.FILTER(Таблица4[Наименование],ISNUMBER(SEARCH('Спецификация для запроса ТУ'!C312,Таблица4[Наименование])),"")</f>
      </c>
    </row>
    <row r="281" spans="1:15" x14ac:dyDescent="0.25">
      <c r="A281" s="1" t="s">
        <v>36</v>
      </c>
      <c r="B281" s="56" t="s">
        <v>607</v>
      </c>
      <c r="C281" s="56" t="s">
        <v>600</v>
      </c>
      <c r="D281" s="1" t="s">
        <v>36</v>
      </c>
      <c r="E281" s="1" t="s">
        <v>36</v>
      </c>
      <c r="F281" s="1" t="s">
        <v>36</v>
      </c>
      <c r="G281" s="1" t="s">
        <v>36</v>
      </c>
      <c r="H281" s="56">
        <v>20</v>
      </c>
      <c r="I281" s="56" t="s">
        <v>608</v>
      </c>
      <c r="J281" s="1" t="s">
        <v>36</v>
      </c>
      <c r="K281" s="56" t="s">
        <v>40</v>
      </c>
      <c r="L281" s="56">
        <v>0.126</v>
      </c>
      <c r="M281" s="56" t="s">
        <v>40</v>
      </c>
      <c r="N281" s="1"/>
      <c r="O281" s="57">
        <f t="array" ref="O2">_xlfn._xlws.FILTER(Таблица4[Наименование],ISNUMBER(SEARCH('Спецификация для запроса ТУ'!C312,Таблица4[Наименование])),"")</f>
      </c>
    </row>
    <row r="282" spans="1:15" x14ac:dyDescent="0.25">
      <c r="A282" s="1" t="s">
        <v>36</v>
      </c>
      <c r="B282" s="56" t="s">
        <v>609</v>
      </c>
      <c r="C282" s="56" t="s">
        <v>600</v>
      </c>
      <c r="D282" s="1" t="s">
        <v>36</v>
      </c>
      <c r="E282" s="1" t="s">
        <v>36</v>
      </c>
      <c r="F282" s="1" t="s">
        <v>36</v>
      </c>
      <c r="G282" s="1" t="s">
        <v>36</v>
      </c>
      <c r="H282" s="56">
        <v>27</v>
      </c>
      <c r="I282" s="56" t="s">
        <v>610</v>
      </c>
      <c r="J282" s="1" t="s">
        <v>36</v>
      </c>
      <c r="K282" s="56" t="s">
        <v>40</v>
      </c>
      <c r="L282" s="56">
        <v>0.128</v>
      </c>
      <c r="M282" s="56" t="s">
        <v>40</v>
      </c>
      <c r="N282" s="1"/>
      <c r="O282" s="57">
        <f t="array" ref="O2">_xlfn._xlws.FILTER(Таблица4[Наименование],ISNUMBER(SEARCH('Спецификация для запроса ТУ'!C312,Таблица4[Наименование])),"")</f>
      </c>
    </row>
    <row r="283" spans="1:15" x14ac:dyDescent="0.25">
      <c r="A283" s="1" t="s">
        <v>36</v>
      </c>
      <c r="B283" s="56" t="s">
        <v>611</v>
      </c>
      <c r="C283" s="56" t="s">
        <v>600</v>
      </c>
      <c r="D283" s="1" t="s">
        <v>36</v>
      </c>
      <c r="E283" s="1" t="s">
        <v>36</v>
      </c>
      <c r="F283" s="1" t="s">
        <v>36</v>
      </c>
      <c r="G283" s="1" t="s">
        <v>36</v>
      </c>
      <c r="H283" s="56">
        <v>27</v>
      </c>
      <c r="I283" s="56" t="s">
        <v>608</v>
      </c>
      <c r="J283" s="1" t="s">
        <v>36</v>
      </c>
      <c r="K283" s="56" t="s">
        <v>40</v>
      </c>
      <c r="L283" s="56">
        <v>0.126</v>
      </c>
      <c r="M283" s="56" t="s">
        <v>40</v>
      </c>
      <c r="N283" s="1"/>
      <c r="O283" s="57">
        <f t="array" ref="O2">_xlfn._xlws.FILTER(Таблица4[Наименование],ISNUMBER(SEARCH('Спецификация для запроса ТУ'!C312,Таблица4[Наименование])),"")</f>
      </c>
    </row>
    <row r="284" spans="1:15" x14ac:dyDescent="0.25">
      <c r="A284" s="1" t="s">
        <v>36</v>
      </c>
      <c r="B284" s="56" t="s">
        <v>612</v>
      </c>
      <c r="C284" s="56" t="s">
        <v>600</v>
      </c>
      <c r="D284" s="1" t="s">
        <v>36</v>
      </c>
      <c r="E284" s="1" t="s">
        <v>36</v>
      </c>
      <c r="F284" s="1" t="s">
        <v>36</v>
      </c>
      <c r="G284" s="1" t="s">
        <v>36</v>
      </c>
      <c r="H284" s="56">
        <v>7.5</v>
      </c>
      <c r="I284" s="56" t="s">
        <v>613</v>
      </c>
      <c r="J284" s="1" t="s">
        <v>36</v>
      </c>
      <c r="K284" s="56" t="s">
        <v>40</v>
      </c>
      <c r="L284" s="56">
        <v>0.12</v>
      </c>
      <c r="M284" s="56" t="s">
        <v>40</v>
      </c>
      <c r="N284" s="1"/>
      <c r="O284" s="57">
        <f t="array" ref="O2">_xlfn._xlws.FILTER(Таблица4[Наименование],ISNUMBER(SEARCH('Спецификация для запроса ТУ'!C312,Таблица4[Наименование])),"")</f>
      </c>
    </row>
    <row r="285" spans="1:15" x14ac:dyDescent="0.25">
      <c r="A285" s="1" t="s">
        <v>36</v>
      </c>
      <c r="B285" s="56" t="s">
        <v>614</v>
      </c>
      <c r="C285" s="56" t="s">
        <v>600</v>
      </c>
      <c r="D285" s="1" t="s">
        <v>36</v>
      </c>
      <c r="E285" s="1" t="s">
        <v>36</v>
      </c>
      <c r="F285" s="1" t="s">
        <v>36</v>
      </c>
      <c r="G285" s="1" t="s">
        <v>36</v>
      </c>
      <c r="H285" s="56">
        <v>19</v>
      </c>
      <c r="I285" s="56" t="s">
        <v>363</v>
      </c>
      <c r="J285" s="1" t="s">
        <v>36</v>
      </c>
      <c r="K285" s="56" t="s">
        <v>40</v>
      </c>
      <c r="L285" s="56">
        <v>0.12</v>
      </c>
      <c r="M285" s="56" t="s">
        <v>40</v>
      </c>
      <c r="N285" s="1"/>
      <c r="O285" s="57">
        <f t="array" ref="O2">_xlfn._xlws.FILTER(Таблица4[Наименование],ISNUMBER(SEARCH('Спецификация для запроса ТУ'!C312,Таблица4[Наименование])),"")</f>
      </c>
    </row>
    <row r="286" spans="1:15" x14ac:dyDescent="0.25">
      <c r="A286" s="1" t="s">
        <v>36</v>
      </c>
      <c r="B286" s="56" t="s">
        <v>615</v>
      </c>
      <c r="C286" s="56" t="s">
        <v>600</v>
      </c>
      <c r="D286" s="1" t="s">
        <v>36</v>
      </c>
      <c r="E286" s="1" t="s">
        <v>36</v>
      </c>
      <c r="F286" s="1" t="s">
        <v>36</v>
      </c>
      <c r="G286" s="1" t="s">
        <v>36</v>
      </c>
      <c r="H286" s="56">
        <v>7.5</v>
      </c>
      <c r="I286" s="56" t="s">
        <v>616</v>
      </c>
      <c r="J286" s="1" t="s">
        <v>36</v>
      </c>
      <c r="K286" s="56" t="s">
        <v>40</v>
      </c>
      <c r="L286" s="56">
        <v>0.12</v>
      </c>
      <c r="M286" s="56" t="s">
        <v>40</v>
      </c>
      <c r="N286" s="1"/>
      <c r="O286" s="57">
        <f t="array" ref="O2">_xlfn._xlws.FILTER(Таблица4[Наименование],ISNUMBER(SEARCH('Спецификация для запроса ТУ'!C312,Таблица4[Наименование])),"")</f>
      </c>
    </row>
    <row r="287" spans="1:15" x14ac:dyDescent="0.25">
      <c r="A287" s="1" t="s">
        <v>36</v>
      </c>
      <c r="B287" s="56" t="s">
        <v>617</v>
      </c>
      <c r="C287" s="56" t="s">
        <v>600</v>
      </c>
      <c r="D287" s="1" t="s">
        <v>36</v>
      </c>
      <c r="E287" s="1" t="s">
        <v>36</v>
      </c>
      <c r="F287" s="1" t="s">
        <v>36</v>
      </c>
      <c r="G287" s="1" t="s">
        <v>36</v>
      </c>
      <c r="H287" s="56">
        <v>12.6</v>
      </c>
      <c r="I287" s="56" t="s">
        <v>363</v>
      </c>
      <c r="J287" s="1" t="s">
        <v>36</v>
      </c>
      <c r="K287" s="56" t="s">
        <v>40</v>
      </c>
      <c r="L287" s="56">
        <v>0.12</v>
      </c>
      <c r="M287" s="56" t="s">
        <v>40</v>
      </c>
      <c r="N287" s="1"/>
      <c r="O287" s="57">
        <f t="array" ref="O2">_xlfn._xlws.FILTER(Таблица4[Наименование],ISNUMBER(SEARCH('Спецификация для запроса ТУ'!C312,Таблица4[Наименование])),"")</f>
      </c>
    </row>
    <row r="288" spans="1:15" x14ac:dyDescent="0.25">
      <c r="A288" s="1" t="s">
        <v>36</v>
      </c>
      <c r="B288" s="56" t="s">
        <v>618</v>
      </c>
      <c r="C288" s="56" t="s">
        <v>600</v>
      </c>
      <c r="D288" s="1" t="s">
        <v>36</v>
      </c>
      <c r="E288" s="1" t="s">
        <v>36</v>
      </c>
      <c r="F288" s="1" t="s">
        <v>36</v>
      </c>
      <c r="G288" s="1" t="s">
        <v>36</v>
      </c>
      <c r="H288" s="56">
        <v>9</v>
      </c>
      <c r="I288" s="56" t="s">
        <v>406</v>
      </c>
      <c r="J288" s="1" t="s">
        <v>36</v>
      </c>
      <c r="K288" s="56" t="s">
        <v>40</v>
      </c>
      <c r="L288" s="56">
        <v>0.276</v>
      </c>
      <c r="M288" s="56" t="s">
        <v>40</v>
      </c>
      <c r="N288" s="1"/>
      <c r="O288" s="57">
        <f t="array" ref="O2">_xlfn._xlws.FILTER(Таблица4[Наименование],ISNUMBER(SEARCH('Спецификация для запроса ТУ'!C312,Таблица4[Наименование])),"")</f>
      </c>
    </row>
    <row r="289" spans="1:15" x14ac:dyDescent="0.25">
      <c r="A289" s="1" t="s">
        <v>36</v>
      </c>
      <c r="B289" s="56" t="s">
        <v>619</v>
      </c>
      <c r="C289" s="56" t="s">
        <v>600</v>
      </c>
      <c r="D289" s="1" t="s">
        <v>36</v>
      </c>
      <c r="E289" s="1" t="s">
        <v>36</v>
      </c>
      <c r="F289" s="1" t="s">
        <v>36</v>
      </c>
      <c r="G289" s="1" t="s">
        <v>36</v>
      </c>
      <c r="H289" s="56">
        <v>25</v>
      </c>
      <c r="I289" s="56" t="s">
        <v>406</v>
      </c>
      <c r="J289" s="1" t="s">
        <v>36</v>
      </c>
      <c r="K289" s="56" t="s">
        <v>40</v>
      </c>
      <c r="L289" s="56">
        <v>0.276</v>
      </c>
      <c r="M289" s="56" t="s">
        <v>40</v>
      </c>
      <c r="N289" s="1"/>
      <c r="O289" s="57">
        <f t="array" ref="O2">_xlfn._xlws.FILTER(Таблица4[Наименование],ISNUMBER(SEARCH('Спецификация для запроса ТУ'!C312,Таблица4[Наименование])),"")</f>
      </c>
    </row>
    <row r="290" spans="1:15" x14ac:dyDescent="0.25">
      <c r="A290" s="1" t="s">
        <v>36</v>
      </c>
      <c r="B290" s="56" t="s">
        <v>620</v>
      </c>
      <c r="C290" s="56" t="s">
        <v>600</v>
      </c>
      <c r="D290" s="1" t="s">
        <v>36</v>
      </c>
      <c r="E290" s="1" t="s">
        <v>36</v>
      </c>
      <c r="F290" s="1" t="s">
        <v>36</v>
      </c>
      <c r="G290" s="1" t="s">
        <v>36</v>
      </c>
      <c r="H290" s="56">
        <v>10</v>
      </c>
      <c r="I290" s="56" t="s">
        <v>621</v>
      </c>
      <c r="J290" s="1" t="s">
        <v>36</v>
      </c>
      <c r="K290" s="56" t="s">
        <v>40</v>
      </c>
      <c r="L290" s="56">
        <v>0.24</v>
      </c>
      <c r="M290" s="56" t="s">
        <v>622</v>
      </c>
      <c r="N290" s="1"/>
      <c r="O290" s="57">
        <f t="array" ref="O2">_xlfn._xlws.FILTER(Таблица4[Наименование],ISNUMBER(SEARCH('Спецификация для запроса ТУ'!C312,Таблица4[Наименование])),"")</f>
      </c>
    </row>
    <row r="291" spans="1:15" x14ac:dyDescent="0.25">
      <c r="A291" s="1" t="s">
        <v>36</v>
      </c>
      <c r="B291" s="56" t="s">
        <v>623</v>
      </c>
      <c r="C291" s="56" t="s">
        <v>600</v>
      </c>
      <c r="D291" s="1" t="s">
        <v>36</v>
      </c>
      <c r="E291" s="1" t="s">
        <v>36</v>
      </c>
      <c r="F291" s="1" t="s">
        <v>36</v>
      </c>
      <c r="G291" s="1" t="s">
        <v>36</v>
      </c>
      <c r="H291" s="56">
        <v>5</v>
      </c>
      <c r="I291" s="56" t="s">
        <v>624</v>
      </c>
      <c r="J291" s="1" t="s">
        <v>36</v>
      </c>
      <c r="K291" s="56" t="s">
        <v>40</v>
      </c>
      <c r="L291" s="56">
        <v>0.285</v>
      </c>
      <c r="M291" s="56" t="s">
        <v>40</v>
      </c>
      <c r="N291" s="1"/>
      <c r="O291" s="57">
        <f t="array" ref="O2">_xlfn._xlws.FILTER(Таблица4[Наименование],ISNUMBER(SEARCH('Спецификация для запроса ТУ'!C312,Таблица4[Наименование])),"")</f>
      </c>
    </row>
    <row r="292" spans="1:15" x14ac:dyDescent="0.25">
      <c r="A292" s="1" t="s">
        <v>36</v>
      </c>
      <c r="B292" s="56" t="s">
        <v>625</v>
      </c>
      <c r="C292" s="56" t="s">
        <v>600</v>
      </c>
      <c r="D292" s="1" t="s">
        <v>36</v>
      </c>
      <c r="E292" s="1" t="s">
        <v>36</v>
      </c>
      <c r="F292" s="1" t="s">
        <v>36</v>
      </c>
      <c r="G292" s="1" t="s">
        <v>36</v>
      </c>
      <c r="H292" s="56">
        <v>15</v>
      </c>
      <c r="I292" s="56" t="s">
        <v>626</v>
      </c>
      <c r="J292" s="1" t="s">
        <v>36</v>
      </c>
      <c r="K292" s="56" t="s">
        <v>40</v>
      </c>
      <c r="L292" s="56">
        <v>0.24</v>
      </c>
      <c r="M292" s="56" t="s">
        <v>40</v>
      </c>
      <c r="N292" s="1"/>
      <c r="O292" s="57">
        <f t="array" ref="O2">_xlfn._xlws.FILTER(Таблица4[Наименование],ISNUMBER(SEARCH('Спецификация для запроса ТУ'!C312,Таблица4[Наименование])),"")</f>
      </c>
    </row>
    <row r="293" spans="1:15" x14ac:dyDescent="0.25">
      <c r="A293" s="1" t="s">
        <v>36</v>
      </c>
      <c r="B293" s="56" t="s">
        <v>627</v>
      </c>
      <c r="C293" s="56" t="s">
        <v>600</v>
      </c>
      <c r="D293" s="1" t="s">
        <v>36</v>
      </c>
      <c r="E293" s="1" t="s">
        <v>36</v>
      </c>
      <c r="F293" s="1" t="s">
        <v>36</v>
      </c>
      <c r="G293" s="1" t="s">
        <v>36</v>
      </c>
      <c r="H293" s="56">
        <v>9</v>
      </c>
      <c r="I293" s="56" t="s">
        <v>628</v>
      </c>
      <c r="J293" s="1" t="s">
        <v>36</v>
      </c>
      <c r="K293" s="56" t="s">
        <v>40</v>
      </c>
      <c r="L293" s="56">
        <v>0.163</v>
      </c>
      <c r="M293" s="56" t="s">
        <v>629</v>
      </c>
      <c r="N293" s="1"/>
      <c r="O293" s="57">
        <f t="array" ref="O2">_xlfn._xlws.FILTER(Таблица4[Наименование],ISNUMBER(SEARCH('Спецификация для запроса ТУ'!C312,Таблица4[Наименование])),"")</f>
      </c>
    </row>
    <row r="294" spans="1:15" x14ac:dyDescent="0.25">
      <c r="A294" s="1" t="s">
        <v>36</v>
      </c>
      <c r="B294" s="56" t="s">
        <v>630</v>
      </c>
      <c r="C294" s="56" t="s">
        <v>600</v>
      </c>
      <c r="D294" s="1" t="s">
        <v>36</v>
      </c>
      <c r="E294" s="1" t="s">
        <v>36</v>
      </c>
      <c r="F294" s="1" t="s">
        <v>36</v>
      </c>
      <c r="G294" s="1" t="s">
        <v>36</v>
      </c>
      <c r="H294" s="56">
        <v>25</v>
      </c>
      <c r="I294" s="56" t="s">
        <v>631</v>
      </c>
      <c r="J294" s="1" t="s">
        <v>36</v>
      </c>
      <c r="K294" s="56" t="s">
        <v>40</v>
      </c>
      <c r="L294" s="56">
        <v>0.36</v>
      </c>
      <c r="M294" s="56" t="s">
        <v>40</v>
      </c>
      <c r="N294" s="1"/>
      <c r="O294" s="57">
        <f t="array" ref="O2">_xlfn._xlws.FILTER(Таблица4[Наименование],ISNUMBER(SEARCH('Спецификация для запроса ТУ'!C312,Таблица4[Наименование])),"")</f>
      </c>
    </row>
    <row r="295" spans="1:15" x14ac:dyDescent="0.25">
      <c r="A295" s="1" t="s">
        <v>36</v>
      </c>
      <c r="B295" s="56" t="s">
        <v>632</v>
      </c>
      <c r="C295" s="56" t="s">
        <v>600</v>
      </c>
      <c r="D295" s="1" t="s">
        <v>36</v>
      </c>
      <c r="E295" s="1" t="s">
        <v>36</v>
      </c>
      <c r="F295" s="1" t="s">
        <v>36</v>
      </c>
      <c r="G295" s="1" t="s">
        <v>36</v>
      </c>
      <c r="H295" s="56">
        <v>20</v>
      </c>
      <c r="I295" s="56" t="s">
        <v>633</v>
      </c>
      <c r="J295" s="1" t="s">
        <v>36</v>
      </c>
      <c r="K295" s="56" t="s">
        <v>40</v>
      </c>
      <c r="L295" s="56">
        <v>0.2</v>
      </c>
      <c r="M295" s="56" t="s">
        <v>40</v>
      </c>
      <c r="N295" s="1"/>
      <c r="O295" s="57">
        <f t="array" ref="O2">_xlfn._xlws.FILTER(Таблица4[Наименование],ISNUMBER(SEARCH('Спецификация для запроса ТУ'!C312,Таблица4[Наименование])),"")</f>
      </c>
    </row>
    <row r="296" spans="1:15" x14ac:dyDescent="0.25">
      <c r="A296" s="1" t="s">
        <v>36</v>
      </c>
      <c r="B296" s="56" t="s">
        <v>634</v>
      </c>
      <c r="C296" s="56" t="s">
        <v>600</v>
      </c>
      <c r="D296" s="1" t="s">
        <v>36</v>
      </c>
      <c r="E296" s="1" t="s">
        <v>36</v>
      </c>
      <c r="F296" s="1" t="s">
        <v>36</v>
      </c>
      <c r="G296" s="1" t="s">
        <v>36</v>
      </c>
      <c r="H296" s="56">
        <v>8.5</v>
      </c>
      <c r="I296" s="56" t="s">
        <v>633</v>
      </c>
      <c r="J296" s="1" t="s">
        <v>36</v>
      </c>
      <c r="K296" s="56" t="s">
        <v>40</v>
      </c>
      <c r="L296" s="56">
        <v>0.2</v>
      </c>
      <c r="M296" s="56" t="s">
        <v>40</v>
      </c>
      <c r="N296" s="1"/>
      <c r="O296" s="57">
        <f t="array" ref="O2">_xlfn._xlws.FILTER(Таблица4[Наименование],ISNUMBER(SEARCH('Спецификация для запроса ТУ'!C312,Таблица4[Наименование])),"")</f>
      </c>
    </row>
    <row r="297" spans="1:15" x14ac:dyDescent="0.25">
      <c r="A297" s="1" t="s">
        <v>36</v>
      </c>
      <c r="B297" s="56" t="s">
        <v>635</v>
      </c>
      <c r="C297" s="56" t="s">
        <v>600</v>
      </c>
      <c r="D297" s="1" t="s">
        <v>36</v>
      </c>
      <c r="E297" s="1" t="s">
        <v>36</v>
      </c>
      <c r="F297" s="1" t="s">
        <v>36</v>
      </c>
      <c r="G297" s="1" t="s">
        <v>36</v>
      </c>
      <c r="H297" s="56">
        <v>25</v>
      </c>
      <c r="I297" s="56" t="s">
        <v>633</v>
      </c>
      <c r="J297" s="1" t="s">
        <v>36</v>
      </c>
      <c r="K297" s="56" t="s">
        <v>40</v>
      </c>
      <c r="L297" s="56">
        <v>0.2</v>
      </c>
      <c r="M297" s="56" t="s">
        <v>40</v>
      </c>
      <c r="N297" s="1"/>
      <c r="O297" s="57">
        <f t="array" ref="O2">_xlfn._xlws.FILTER(Таблица4[Наименование],ISNUMBER(SEARCH('Спецификация для запроса ТУ'!C312,Таблица4[Наименование])),"")</f>
      </c>
    </row>
    <row r="298" spans="1:15" x14ac:dyDescent="0.25">
      <c r="A298" s="1" t="s">
        <v>36</v>
      </c>
      <c r="B298" s="56" t="s">
        <v>636</v>
      </c>
      <c r="C298" s="56" t="s">
        <v>600</v>
      </c>
      <c r="D298" s="1" t="s">
        <v>36</v>
      </c>
      <c r="E298" s="1" t="s">
        <v>36</v>
      </c>
      <c r="F298" s="1" t="s">
        <v>36</v>
      </c>
      <c r="G298" s="1" t="s">
        <v>36</v>
      </c>
      <c r="H298" s="56">
        <v>10</v>
      </c>
      <c r="I298" s="56" t="s">
        <v>637</v>
      </c>
      <c r="J298" s="1" t="s">
        <v>36</v>
      </c>
      <c r="K298" s="56" t="s">
        <v>40</v>
      </c>
      <c r="L298" s="56">
        <v>0.122</v>
      </c>
      <c r="M298" s="56" t="s">
        <v>40</v>
      </c>
      <c r="N298" s="1"/>
      <c r="O298" s="57">
        <f t="array" ref="O2">_xlfn._xlws.FILTER(Таблица4[Наименование],ISNUMBER(SEARCH('Спецификация для запроса ТУ'!C312,Таблица4[Наименование])),"")</f>
      </c>
    </row>
    <row r="299" spans="1:15" x14ac:dyDescent="0.25">
      <c r="A299" s="1" t="s">
        <v>36</v>
      </c>
      <c r="B299" s="56" t="s">
        <v>638</v>
      </c>
      <c r="C299" s="56" t="s">
        <v>639</v>
      </c>
      <c r="D299" s="1" t="s">
        <v>36</v>
      </c>
      <c r="E299" s="1" t="s">
        <v>36</v>
      </c>
      <c r="F299" s="1" t="s">
        <v>36</v>
      </c>
      <c r="G299" s="1" t="s">
        <v>36</v>
      </c>
      <c r="H299" s="56" t="s">
        <v>40</v>
      </c>
      <c r="I299" s="56" t="s">
        <v>40</v>
      </c>
      <c r="J299" s="1" t="s">
        <v>36</v>
      </c>
      <c r="K299" s="56" t="s">
        <v>40</v>
      </c>
      <c r="L299" s="56" t="s">
        <v>40</v>
      </c>
      <c r="M299" s="56" t="s">
        <v>40</v>
      </c>
      <c r="N299" s="1"/>
      <c r="O299" s="57">
        <f t="array" ref="O2">_xlfn._xlws.FILTER(Таблица4[Наименование],ISNUMBER(SEARCH('Спецификация для запроса ТУ'!C312,Таблица4[Наименование])),"")</f>
      </c>
    </row>
    <row r="300" spans="1:15" x14ac:dyDescent="0.25">
      <c r="A300" s="1" t="s">
        <v>36</v>
      </c>
      <c r="B300" s="56" t="s">
        <v>640</v>
      </c>
      <c r="C300" s="56" t="s">
        <v>639</v>
      </c>
      <c r="D300" s="1" t="s">
        <v>36</v>
      </c>
      <c r="E300" s="1" t="s">
        <v>36</v>
      </c>
      <c r="F300" s="1" t="s">
        <v>36</v>
      </c>
      <c r="G300" s="1" t="s">
        <v>36</v>
      </c>
      <c r="H300" s="56" t="s">
        <v>40</v>
      </c>
      <c r="I300" s="56" t="s">
        <v>40</v>
      </c>
      <c r="J300" s="1" t="s">
        <v>36</v>
      </c>
      <c r="K300" s="56" t="s">
        <v>40</v>
      </c>
      <c r="L300" s="56" t="s">
        <v>40</v>
      </c>
      <c r="M300" s="56" t="s">
        <v>40</v>
      </c>
      <c r="N300" s="1"/>
      <c r="O300" s="57">
        <f t="array" ref="O2">_xlfn._xlws.FILTER(Таблица4[Наименование],ISNUMBER(SEARCH('Спецификация для запроса ТУ'!C312,Таблица4[Наименование])),"")</f>
      </c>
    </row>
    <row r="301" spans="1:15" x14ac:dyDescent="0.25">
      <c r="A301" s="1" t="s">
        <v>36</v>
      </c>
      <c r="B301" s="56" t="s">
        <v>21</v>
      </c>
      <c r="C301" s="56" t="s">
        <v>639</v>
      </c>
      <c r="D301" s="1" t="s">
        <v>36</v>
      </c>
      <c r="E301" s="1" t="s">
        <v>36</v>
      </c>
      <c r="F301" s="1" t="s">
        <v>36</v>
      </c>
      <c r="G301" s="1" t="s">
        <v>36</v>
      </c>
      <c r="H301" s="56" t="s">
        <v>40</v>
      </c>
      <c r="I301" s="56" t="s">
        <v>40</v>
      </c>
      <c r="J301" s="1" t="s">
        <v>36</v>
      </c>
      <c r="K301" s="56" t="s">
        <v>40</v>
      </c>
      <c r="L301" s="56" t="s">
        <v>40</v>
      </c>
      <c r="M301" s="56" t="s">
        <v>40</v>
      </c>
      <c r="N301" s="1"/>
      <c r="O301" s="57">
        <f t="array" ref="O2">_xlfn._xlws.FILTER(Таблица4[Наименование],ISNUMBER(SEARCH('Спецификация для запроса ТУ'!C312,Таблица4[Наименование])),"")</f>
      </c>
    </row>
    <row r="302" spans="1:15" x14ac:dyDescent="0.25">
      <c r="A302" s="1" t="s">
        <v>36</v>
      </c>
      <c r="B302" s="56" t="s">
        <v>22</v>
      </c>
      <c r="C302" s="56" t="s">
        <v>639</v>
      </c>
      <c r="D302" s="1" t="s">
        <v>36</v>
      </c>
      <c r="E302" s="1" t="s">
        <v>36</v>
      </c>
      <c r="F302" s="1" t="s">
        <v>36</v>
      </c>
      <c r="G302" s="1" t="s">
        <v>36</v>
      </c>
      <c r="H302" s="56" t="s">
        <v>40</v>
      </c>
      <c r="I302" s="56" t="s">
        <v>40</v>
      </c>
      <c r="J302" s="1" t="s">
        <v>36</v>
      </c>
      <c r="K302" s="56" t="s">
        <v>40</v>
      </c>
      <c r="L302" s="56" t="s">
        <v>40</v>
      </c>
      <c r="M302" s="56" t="s">
        <v>40</v>
      </c>
      <c r="N302" s="1"/>
      <c r="O302" s="57">
        <f t="array" ref="O2">_xlfn._xlws.FILTER(Таблица4[Наименование],ISNUMBER(SEARCH('Спецификация для запроса ТУ'!C312,Таблица4[Наименование])),"")</f>
      </c>
    </row>
    <row r="303" spans="1:15" x14ac:dyDescent="0.25">
      <c r="A303" s="1" t="s">
        <v>36</v>
      </c>
      <c r="B303" s="56" t="s">
        <v>20</v>
      </c>
      <c r="C303" s="56" t="s">
        <v>639</v>
      </c>
      <c r="D303" s="1" t="s">
        <v>36</v>
      </c>
      <c r="E303" s="1" t="s">
        <v>36</v>
      </c>
      <c r="F303" s="1" t="s">
        <v>36</v>
      </c>
      <c r="G303" s="1" t="s">
        <v>36</v>
      </c>
      <c r="H303" s="56" t="s">
        <v>40</v>
      </c>
      <c r="I303" s="56" t="s">
        <v>40</v>
      </c>
      <c r="J303" s="1" t="s">
        <v>36</v>
      </c>
      <c r="K303" s="56" t="s">
        <v>40</v>
      </c>
      <c r="L303" s="56" t="s">
        <v>40</v>
      </c>
      <c r="M303" s="56" t="s">
        <v>40</v>
      </c>
      <c r="N303" s="1"/>
      <c r="O303" s="57">
        <f t="array" ref="O2">_xlfn._xlws.FILTER(Таблица4[Наименование],ISNUMBER(SEARCH('Спецификация для запроса ТУ'!C312,Таблица4[Наименование])),"")</f>
      </c>
    </row>
    <row r="304" spans="1:15" x14ac:dyDescent="0.25">
      <c r="A304" s="1" t="s">
        <v>36</v>
      </c>
      <c r="B304" s="56" t="s">
        <v>19</v>
      </c>
      <c r="C304" s="56" t="s">
        <v>639</v>
      </c>
      <c r="D304" s="1" t="s">
        <v>36</v>
      </c>
      <c r="E304" s="1" t="s">
        <v>36</v>
      </c>
      <c r="F304" s="1" t="s">
        <v>36</v>
      </c>
      <c r="G304" s="1" t="s">
        <v>36</v>
      </c>
      <c r="H304" s="56" t="s">
        <v>40</v>
      </c>
      <c r="I304" s="56" t="s">
        <v>40</v>
      </c>
      <c r="J304" s="1" t="s">
        <v>36</v>
      </c>
      <c r="K304" s="56" t="s">
        <v>40</v>
      </c>
      <c r="L304" s="56" t="s">
        <v>40</v>
      </c>
      <c r="M304" s="56" t="s">
        <v>40</v>
      </c>
      <c r="N304" s="1"/>
      <c r="O304" s="57">
        <f t="array" ref="O2">_xlfn._xlws.FILTER(Таблица4[Наименование],ISNUMBER(SEARCH('Спецификация для запроса ТУ'!C312,Таблица4[Наименование])),"")</f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44"/>
  <sheetViews>
    <sheetView workbookViewId="0" zoomScale="145" zoomScaleNormal="145">
      <selection activeCell="C10" sqref="C10"/>
    </sheetView>
  </sheetViews>
  <sheetFormatPr defaultRowHeight="15" outlineLevelRow="0" outlineLevelCol="0" x14ac:dyDescent="0.25"/>
  <cols>
    <col min="1" max="1" width="2.5703125" style="1" customWidth="1"/>
    <col min="2" max="2" width="2.140625" style="1" customWidth="1"/>
    <col min="3" max="3" width="59" style="1" customWidth="1"/>
    <col min="4" max="4" width="22.85546875" style="1" customWidth="1"/>
    <col min="5" max="5" width="30" style="1" customWidth="1"/>
    <col min="6" max="6" width="9.28515625" style="1" customWidth="1"/>
    <col min="7" max="7" width="13.42578125" style="1" customWidth="1"/>
    <col min="8" max="8" width="39.42578125" style="1" customWidth="1"/>
    <col min="9" max="9" width="2.140625" style="1" customWidth="1"/>
    <col min="10" max="16384" width="9.140625" style="1" customWidth="1"/>
  </cols>
  <sheetData>
    <row r="1" ht="7.5" customHeight="1" x14ac:dyDescent="0.25"/>
    <row r="2" ht="9" customHeight="1" spans="1:9" x14ac:dyDescent="0.25">
      <c r="A2" s="1"/>
      <c r="B2" s="3"/>
      <c r="C2" s="4"/>
      <c r="D2" s="4"/>
      <c r="E2" s="4"/>
      <c r="F2" s="4"/>
      <c r="G2" s="4"/>
      <c r="H2" s="4"/>
      <c r="I2" s="5"/>
    </row>
    <row r="3" ht="22.5" customHeight="1" spans="1:9" x14ac:dyDescent="0.25">
      <c r="A3" s="1"/>
      <c r="B3" s="6"/>
      <c r="C3" s="7" t="str">
        <f>HYPERLINK("https://gorservices.kaiten.site/","&gt;&gt;&gt; Информационный ресурс ООО «НГС» (ссылка на акутальные требования и форму спецификации) &lt;&lt;&lt;")</f>
        <v>&gt;&gt;&gt; Информационный ресурс ООО «НГС» (ссылка на акутальные требования и форму спецификации) &lt;&lt;&lt;</v>
      </c>
      <c r="D3" s="8"/>
      <c r="E3" s="9"/>
      <c r="F3" s="9"/>
      <c r="G3" s="10"/>
      <c r="H3" s="11" t="s">
        <v>7</v>
      </c>
      <c r="I3" s="12"/>
    </row>
    <row r="4" ht="6" customHeight="1" spans="1:9" x14ac:dyDescent="0.25">
      <c r="A4" s="1"/>
      <c r="B4" s="6"/>
      <c r="C4" s="13"/>
      <c r="D4" s="14"/>
      <c r="E4" s="14"/>
      <c r="F4" s="14"/>
      <c r="G4" s="14"/>
      <c r="H4" s="15"/>
      <c r="I4" s="12"/>
    </row>
    <row r="5" spans="1:9" x14ac:dyDescent="0.25">
      <c r="A5" s="1"/>
      <c r="B5" s="6"/>
      <c r="C5" s="16" t="s">
        <v>8</v>
      </c>
      <c r="D5" s="17" t="s">
        <v>9</v>
      </c>
      <c r="E5" s="18" t="s">
        <v>10</v>
      </c>
      <c r="F5" s="19"/>
      <c r="G5" s="19"/>
      <c r="H5" s="20"/>
      <c r="I5" s="12"/>
    </row>
    <row r="6" spans="1:9" x14ac:dyDescent="0.25">
      <c r="A6" s="1"/>
      <c r="B6" s="6"/>
      <c r="C6" s="21" t="s">
        <v>11</v>
      </c>
      <c r="D6" s="22" t="s">
        <v>9</v>
      </c>
      <c r="E6" s="23"/>
      <c r="F6" s="23"/>
      <c r="G6" s="23"/>
      <c r="H6" s="24"/>
      <c r="I6" s="12"/>
    </row>
    <row r="7" ht="15.75" customHeight="1" spans="1:9" x14ac:dyDescent="0.25">
      <c r="A7" s="1"/>
      <c r="B7" s="6"/>
      <c r="C7" s="25" t="s">
        <v>12</v>
      </c>
      <c r="D7" s="26" t="s">
        <v>9</v>
      </c>
      <c r="E7" s="23"/>
      <c r="F7" s="23"/>
      <c r="G7" s="23"/>
      <c r="H7" s="24"/>
      <c r="I7" s="12"/>
    </row>
    <row r="8" ht="6" customHeight="1" spans="1:9" x14ac:dyDescent="0.25">
      <c r="A8" s="1"/>
      <c r="B8" s="6"/>
      <c r="C8" s="27"/>
      <c r="D8" s="28"/>
      <c r="E8" s="29"/>
      <c r="F8" s="23"/>
      <c r="G8" s="23"/>
      <c r="H8" s="24"/>
      <c r="I8" s="12"/>
    </row>
    <row r="9" spans="1:9" x14ac:dyDescent="0.25">
      <c r="A9" s="1"/>
      <c r="B9" s="6"/>
      <c r="C9" s="30" t="s">
        <v>13</v>
      </c>
      <c r="D9" s="28"/>
      <c r="E9" s="29"/>
      <c r="F9" s="23"/>
      <c r="G9" s="23"/>
      <c r="H9" s="24"/>
      <c r="I9" s="12"/>
    </row>
    <row r="10" ht="15.75" customHeight="1" spans="1:9" x14ac:dyDescent="0.25">
      <c r="A10" s="1"/>
      <c r="B10" s="6"/>
      <c r="C10" s="31"/>
      <c r="D10" s="28"/>
      <c r="E10" s="32"/>
      <c r="F10" s="33"/>
      <c r="G10" s="33"/>
      <c r="H10" s="34"/>
      <c r="I10" s="12"/>
    </row>
    <row r="11" ht="6" customHeight="1" spans="1:9" x14ac:dyDescent="0.25">
      <c r="A11" s="1"/>
      <c r="B11" s="6"/>
      <c r="C11" s="27"/>
      <c r="D11" s="28"/>
      <c r="E11" s="28"/>
      <c r="F11" s="28"/>
      <c r="G11" s="28"/>
      <c r="H11" s="35"/>
      <c r="I11" s="12"/>
    </row>
    <row r="12" ht="29.25" customHeight="1" spans="1:9" x14ac:dyDescent="0.25">
      <c r="A12" s="1"/>
      <c r="B12" s="6"/>
      <c r="C12" s="36" t="s">
        <v>2</v>
      </c>
      <c r="D12" s="37" t="s">
        <v>14</v>
      </c>
      <c r="E12" s="38" t="s">
        <v>15</v>
      </c>
      <c r="F12" s="38" t="s">
        <v>16</v>
      </c>
      <c r="G12" s="38" t="s">
        <v>17</v>
      </c>
      <c r="H12" s="39" t="s">
        <v>18</v>
      </c>
      <c r="I12" s="12"/>
    </row>
    <row r="13" spans="1:9" x14ac:dyDescent="0.25">
      <c r="A13" s="1"/>
      <c r="B13" s="6"/>
      <c r="C13" s="40" t="s">
        <v>19</v>
      </c>
      <c r="D13" s="1" t="e">
        <f>IF(ISBLANK(Таблица5[[#This Row],[Оборудование]]),"-",VLOOKUP(C13,'Справочник оборудования'!B:C,2,FALSE))</f>
        <v>#N/A</v>
      </c>
      <c r="E13" s="1" t="e">
        <f>IF(ISBLANK(Таблица5[[#This Row],[Оборудование]]),"-",IF(D13="Кабель","-",VLOOKUP(C13,'Справочник оборудования'!B:I,8,FALSE)&amp;" / "&amp;VLOOKUP(C13,'Справочник оборудования'!B:I,7,FALSE)&amp;" / "&amp;IF(VLOOKUP(C13,'Справочник оборудования'!B:K,10,FALSE)="","-",VLOOKUP(C13,'Справочник оборудования'!B:K,10,FALSE))))</f>
        <v>#N/A</v>
      </c>
      <c r="F13" s="41" t="str">
        <f t="shared" ref="F13:F20" si="0">IF(ISBLANK(C13),"-","-?-")</f>
        <v>-?-</v>
      </c>
      <c r="G13" s="42" t="str">
        <f t="array" ref="G13">IFERROR(_xlfn.IFS(D13="Антенна панельная","-?-",D13="Антенна РРС","-?-"),"-")</f>
        <v>-</v>
      </c>
      <c r="H13" s="43" t="str">
        <f>IF(ISBLANK(C13),"-","-?-")</f>
        <v>-?-</v>
      </c>
      <c r="I13" s="12"/>
    </row>
    <row r="14" spans="1:9" x14ac:dyDescent="0.25">
      <c r="A14" s="1"/>
      <c r="B14" s="6"/>
      <c r="C14" s="40" t="s">
        <v>20</v>
      </c>
      <c r="D14" s="1" t="e">
        <f>IF(ISBLANK(Таблица5[[#This Row],[Оборудование]]),"-",VLOOKUP(C14,'Справочник оборудования'!B:C,2,FALSE))</f>
        <v>#N/A</v>
      </c>
      <c r="E14" s="1" t="e">
        <f>IF(ISBLANK(Таблица5[[#This Row],[Оборудование]]),"-",IF(D14="Кабель","-",VLOOKUP(C14,'Справочник оборудования'!B:I,8,FALSE)&amp;" / "&amp;VLOOKUP(C14,'Справочник оборудования'!B:I,7,FALSE)&amp;" / "&amp;IF(VLOOKUP(C14,'Справочник оборудования'!B:K,10,FALSE)="","-",VLOOKUP(C14,'Справочник оборудования'!B:K,10,FALSE))))</f>
        <v>#N/A</v>
      </c>
      <c r="F14" s="41" t="str">
        <f t="shared" si="0"/>
        <v>-?-</v>
      </c>
      <c r="G14" s="42" t="str">
        <f t="array" ref="G14">IFERROR(_xlfn.IFS(D14="Антенна панельная","-?-",D14="Антенна РРС","-?-"),"-")</f>
        <v>-</v>
      </c>
      <c r="H14" s="43" t="str">
        <f>IF(ISBLANK(C14),"-","-?-")</f>
        <v>-?-</v>
      </c>
      <c r="I14" s="12"/>
    </row>
    <row r="15" spans="1:9" x14ac:dyDescent="0.25">
      <c r="A15" s="1"/>
      <c r="B15" s="6"/>
      <c r="C15" s="40" t="s">
        <v>21</v>
      </c>
      <c r="D15" s="1" t="e">
        <f>IF(ISBLANK(Таблица5[[#This Row],[Оборудование]]),"-",VLOOKUP(C15,'Справочник оборудования'!B:C,2,FALSE))</f>
        <v>#N/A</v>
      </c>
      <c r="E15" s="1" t="e">
        <f>IF(ISBLANK(Таблица5[[#This Row],[Оборудование]]),"-",IF(D15="Кабель","-",VLOOKUP(C15,'Справочник оборудования'!B:I,8,FALSE)&amp;" / "&amp;VLOOKUP(C15,'Справочник оборудования'!B:I,7,FALSE)&amp;" / "&amp;IF(VLOOKUP(C15,'Справочник оборудования'!B:K,10,FALSE)="","-",VLOOKUP(C15,'Справочник оборудования'!B:K,10,FALSE))))</f>
        <v>#N/A</v>
      </c>
      <c r="F15" s="41" t="str">
        <f t="shared" si="0"/>
        <v>-?-</v>
      </c>
      <c r="G15" s="42" t="str">
        <f t="array" ref="G15">IFERROR(_xlfn.IFS(D15="Антенна панельная","-?-",D15="Антенна РРС","-?-"),"-")</f>
        <v>-</v>
      </c>
      <c r="H15" s="43" t="str">
        <f t="shared" ref="H15:H20" si="1">IF(ISBLANK(C15),"-","-?-")</f>
        <v>-?-</v>
      </c>
      <c r="I15" s="12"/>
    </row>
    <row r="16" spans="1:9" x14ac:dyDescent="0.25">
      <c r="A16" s="1"/>
      <c r="B16" s="6"/>
      <c r="C16" s="40" t="s">
        <v>22</v>
      </c>
      <c r="D16" s="1" t="e">
        <f>IF(ISBLANK(Таблица5[[#This Row],[Оборудование]]),"-",VLOOKUP(C16,'Справочник оборудования'!B:C,2,FALSE))</f>
        <v>#N/A</v>
      </c>
      <c r="E16" s="1" t="e">
        <f>IF(ISBLANK(Таблица5[[#This Row],[Оборудование]]),"-",IF(D16="Кабель","-",VLOOKUP(C16,'Справочник оборудования'!B:I,8,FALSE)&amp;" / "&amp;VLOOKUP(C16,'Справочник оборудования'!B:I,7,FALSE)&amp;" / "&amp;IF(VLOOKUP(C16,'Справочник оборудования'!B:K,10,FALSE)="","-",VLOOKUP(C16,'Справочник оборудования'!B:K,10,FALSE))))</f>
        <v>#N/A</v>
      </c>
      <c r="F16" s="41" t="str">
        <f t="shared" si="0"/>
        <v>-?-</v>
      </c>
      <c r="G16" s="42" t="str">
        <f t="array" ref="G16">IFERROR(_xlfn.IFS(D16="Антенна панельная","-?-",D16="Антенна РРС","-?-"),"-")</f>
        <v>-</v>
      </c>
      <c r="H16" s="43" t="str">
        <f t="shared" si="1"/>
        <v>-?-</v>
      </c>
      <c r="I16" s="12"/>
    </row>
    <row r="17" spans="1:9" x14ac:dyDescent="0.25">
      <c r="A17" s="1"/>
      <c r="B17" s="6"/>
      <c r="C17" s="44"/>
      <c r="D17" s="1" t="str">
        <f>IF(ISBLANK(Таблица5[[#This Row],[Оборудование]]),"-",VLOOKUP(C17,'Справочник оборудования'!B:C,2,FALSE))</f>
        <v>-</v>
      </c>
      <c r="E17" s="1" t="str">
        <f>IF(ISBLANK(Таблица5[[#This Row],[Оборудование]]),"-",IF(D17="Кабель","-",VLOOKUP(C17,'Справочник оборудования'!B:I,8,FALSE)&amp;" / "&amp;VLOOKUP(C17,'Справочник оборудования'!B:I,7,FALSE)&amp;" / "&amp;IF(VLOOKUP(C17,'Справочник оборудования'!B:K,10,FALSE)="","-",VLOOKUP(C17,'Справочник оборудования'!B:K,10,FALSE))))</f>
        <v>-</v>
      </c>
      <c r="F17" s="41" t="str">
        <f t="shared" si="0"/>
        <v>-</v>
      </c>
      <c r="G17" s="45" t="str">
        <f t="array" ref="G17">IFERROR(_xlfn.IFS(D17="Антенна панельная","-?-",D17="Антенна РРС","-?-"),"-")</f>
        <v>-</v>
      </c>
      <c r="H17" s="43" t="str">
        <f t="shared" si="1"/>
        <v>-</v>
      </c>
      <c r="I17" s="12"/>
    </row>
    <row r="18" spans="1:9" x14ac:dyDescent="0.25">
      <c r="A18" s="1"/>
      <c r="B18" s="6"/>
      <c r="C18" s="44"/>
      <c r="D18" s="1" t="str">
        <f>IF(ISBLANK(Таблица5[[#This Row],[Оборудование]]),"-",VLOOKUP(C18,'Справочник оборудования'!B:C,2,FALSE))</f>
        <v>-</v>
      </c>
      <c r="E18" s="1" t="str">
        <f>IF(ISBLANK(Таблица5[[#This Row],[Оборудование]]),"-",IF(D18="Кабель","-",VLOOKUP(C18,'Справочник оборудования'!B:I,8,FALSE)&amp;" / "&amp;VLOOKUP(C18,'Справочник оборудования'!B:I,7,FALSE)&amp;" / "&amp;IF(VLOOKUP(C18,'Справочник оборудования'!B:K,10,FALSE)="","-",VLOOKUP(C18,'Справочник оборудования'!B:K,10,FALSE))))</f>
        <v>-</v>
      </c>
      <c r="F18" s="41" t="str">
        <f t="shared" si="0"/>
        <v>-</v>
      </c>
      <c r="G18" s="45" t="str">
        <f t="array" ref="G18">IFERROR(_xlfn.IFS(D18="Антенна панельная","-?-",D18="Антенна РРС","-?-"),"-")</f>
        <v>-</v>
      </c>
      <c r="H18" s="43" t="str">
        <f t="shared" si="1"/>
        <v>-</v>
      </c>
      <c r="I18" s="12"/>
    </row>
    <row r="19" spans="1:9" x14ac:dyDescent="0.25">
      <c r="A19" s="1"/>
      <c r="B19" s="6"/>
      <c r="C19" s="44"/>
      <c r="D19" s="1" t="str">
        <f>IF(ISBLANK(Таблица5[[#This Row],[Оборудование]]),"-",VLOOKUP(C19,'Справочник оборудования'!B:C,2,FALSE))</f>
        <v>-</v>
      </c>
      <c r="E19" s="1" t="str">
        <f>IF(ISBLANK(Таблица5[[#This Row],[Оборудование]]),"-",IF(D19="Кабель","-",VLOOKUP(C19,'Справочник оборудования'!B:I,8,FALSE)&amp;" / "&amp;VLOOKUP(C19,'Справочник оборудования'!B:I,7,FALSE)&amp;" / "&amp;IF(VLOOKUP(C19,'Справочник оборудования'!B:K,10,FALSE)="","-",VLOOKUP(C19,'Справочник оборудования'!B:K,10,FALSE))))</f>
        <v>-</v>
      </c>
      <c r="F19" s="41" t="str">
        <f t="shared" si="0"/>
        <v>-</v>
      </c>
      <c r="G19" s="45" t="str">
        <f t="array" ref="G19">IFERROR(_xlfn.IFS(D19="Антенна панельная","-?-",D19="Антенна РРС","-?-"),"-")</f>
        <v>-</v>
      </c>
      <c r="H19" s="43" t="str">
        <f t="shared" si="1"/>
        <v>-</v>
      </c>
      <c r="I19" s="12"/>
    </row>
    <row r="20" spans="1:9" x14ac:dyDescent="0.25">
      <c r="A20" s="1"/>
      <c r="B20" s="6"/>
      <c r="C20" s="44"/>
      <c r="D20" s="1" t="str">
        <f>IF(ISBLANK(Таблица5[[#This Row],[Оборудование]]),"-",VLOOKUP(C20,'Справочник оборудования'!B:C,2,FALSE))</f>
        <v>-</v>
      </c>
      <c r="E20" s="1" t="str">
        <f>IF(ISBLANK(Таблица5[[#This Row],[Оборудование]]),"-",IF(D20="Кабель","-",VLOOKUP(C20,'Справочник оборудования'!B:I,8,FALSE)&amp;" / "&amp;VLOOKUP(C20,'Справочник оборудования'!B:I,7,FALSE)&amp;" / "&amp;IF(VLOOKUP(C20,'Справочник оборудования'!B:K,10,FALSE)="","-",VLOOKUP(C20,'Справочник оборудования'!B:K,10,FALSE))))</f>
        <v>-</v>
      </c>
      <c r="F20" s="41" t="str">
        <f t="shared" si="0"/>
        <v>-</v>
      </c>
      <c r="G20" s="45" t="str">
        <f t="array" ref="G20">IFERROR(_xlfn.IFS(D20="Антенна панельная","-?-",D20="Антенна РРС","-?-"),"-")</f>
        <v>-</v>
      </c>
      <c r="H20" s="43" t="str">
        <f t="shared" si="1"/>
        <v>-</v>
      </c>
      <c r="I20" s="12"/>
    </row>
    <row r="21" spans="1:9" x14ac:dyDescent="0.25">
      <c r="A21" s="1"/>
      <c r="B21" s="6"/>
      <c r="C21" s="44"/>
      <c r="D21" s="1" t="str">
        <f>IF(ISBLANK(Таблица5[[#This Row],[Оборудование]]),"-",VLOOKUP(C21,'Справочник оборудования'!B:C,2,FALSE))</f>
        <v>-</v>
      </c>
      <c r="E21" s="1" t="str">
        <f>IF(ISBLANK(Таблица5[[#This Row],[Оборудование]]),"-",IF(D21="Кабель","-",VLOOKUP(C21,'Справочник оборудования'!B:I,8,FALSE)&amp;" / "&amp;VLOOKUP(C21,'Справочник оборудования'!B:I,7,FALSE)&amp;" / "&amp;IF(VLOOKUP(C21,'Справочник оборудования'!B:K,10,FALSE)="","-",VLOOKUP(C21,'Справочник оборудования'!B:K,10,FALSE))))</f>
        <v>-</v>
      </c>
      <c r="F21" s="41" t="str">
        <f t="shared" ref="F21:F36" si="2">IF(ISBLANK(C21),"-","-?-")</f>
        <v>-</v>
      </c>
      <c r="G21" s="45" t="str">
        <f t="array" ref="G21">IFERROR(_xlfn.IFS(D21="Антенна панельная","-?-",D21="Антенна РРС","-?-"),"-")</f>
        <v>-</v>
      </c>
      <c r="H21" s="43" t="str">
        <f t="shared" ref="H21:H36" si="3">IF(ISBLANK(C21),"-","-?-")</f>
        <v>-</v>
      </c>
      <c r="I21" s="12"/>
    </row>
    <row r="22" spans="1:9" x14ac:dyDescent="0.25">
      <c r="A22" s="1"/>
      <c r="B22" s="6"/>
      <c r="C22" s="44"/>
      <c r="D22" s="1" t="str">
        <f>IF(ISBLANK(Таблица5[[#This Row],[Оборудование]]),"-",VLOOKUP(C22,'Справочник оборудования'!B:C,2,FALSE))</f>
        <v>-</v>
      </c>
      <c r="E22" s="1" t="str">
        <f>IF(ISBLANK(Таблица5[[#This Row],[Оборудование]]),"-",IF(D22="Кабель","-",VLOOKUP(C22,'Справочник оборудования'!B:I,8,FALSE)&amp;" / "&amp;VLOOKUP(C22,'Справочник оборудования'!B:I,7,FALSE)&amp;" / "&amp;IF(VLOOKUP(C22,'Справочник оборудования'!B:K,10,FALSE)="","-",VLOOKUP(C22,'Справочник оборудования'!B:K,10,FALSE))))</f>
        <v>-</v>
      </c>
      <c r="F22" s="41" t="str">
        <f t="shared" si="2"/>
        <v>-</v>
      </c>
      <c r="G22" s="45" t="str">
        <f t="array" ref="G22">IFERROR(_xlfn.IFS(D22="Антенна панельная","-?-",D22="Антенна РРС","-?-"),"-")</f>
        <v>-</v>
      </c>
      <c r="H22" s="43" t="str">
        <f t="shared" si="3"/>
        <v>-</v>
      </c>
      <c r="I22" s="12"/>
    </row>
    <row r="23" spans="1:9" x14ac:dyDescent="0.25">
      <c r="A23" s="1"/>
      <c r="B23" s="6"/>
      <c r="C23" s="44"/>
      <c r="D23" s="1" t="str">
        <f>IF(ISBLANK(Таблица5[[#This Row],[Оборудование]]),"-",VLOOKUP(C23,'Справочник оборудования'!B:C,2,FALSE))</f>
        <v>-</v>
      </c>
      <c r="E23" s="1" t="str">
        <f>IF(ISBLANK(Таблица5[[#This Row],[Оборудование]]),"-",IF(D23="Кабель","-",VLOOKUP(C23,'Справочник оборудования'!B:I,8,FALSE)&amp;" / "&amp;VLOOKUP(C23,'Справочник оборудования'!B:I,7,FALSE)&amp;" / "&amp;IF(VLOOKUP(C23,'Справочник оборудования'!B:K,10,FALSE)="","-",VLOOKUP(C23,'Справочник оборудования'!B:K,10,FALSE))))</f>
        <v>-</v>
      </c>
      <c r="F23" s="41" t="str">
        <f t="shared" si="2"/>
        <v>-</v>
      </c>
      <c r="G23" s="45" t="str">
        <f t="array" ref="G23">IFERROR(_xlfn.IFS(D23="Антенна панельная","-?-",D23="Антенна РРС","-?-"),"-")</f>
        <v>-</v>
      </c>
      <c r="H23" s="43" t="str">
        <f t="shared" si="3"/>
        <v>-</v>
      </c>
      <c r="I23" s="12"/>
    </row>
    <row r="24" spans="1:9" x14ac:dyDescent="0.25">
      <c r="A24" s="1"/>
      <c r="B24" s="6"/>
      <c r="C24" s="44"/>
      <c r="D24" s="1" t="str">
        <f>IF(ISBLANK(Таблица5[[#This Row],[Оборудование]]),"-",VLOOKUP(C24,'Справочник оборудования'!B:C,2,FALSE))</f>
        <v>-</v>
      </c>
      <c r="E24" s="1" t="str">
        <f>IF(ISBLANK(Таблица5[[#This Row],[Оборудование]]),"-",IF(D24="Кабель","-",VLOOKUP(C24,'Справочник оборудования'!B:I,8,FALSE)&amp;" / "&amp;VLOOKUP(C24,'Справочник оборудования'!B:I,7,FALSE)&amp;" / "&amp;IF(VLOOKUP(C24,'Справочник оборудования'!B:K,10,FALSE)="","-",VLOOKUP(C24,'Справочник оборудования'!B:K,10,FALSE))))</f>
        <v>-</v>
      </c>
      <c r="F24" s="41" t="str">
        <f t="shared" si="2"/>
        <v>-</v>
      </c>
      <c r="G24" s="45" t="str">
        <f t="array" ref="G24">IFERROR(_xlfn.IFS(D24="Антенна панельная","-?-",D24="Антенна РРС","-?-"),"-")</f>
        <v>-</v>
      </c>
      <c r="H24" s="43" t="str">
        <f t="shared" si="3"/>
        <v>-</v>
      </c>
      <c r="I24" s="12"/>
    </row>
    <row r="25" spans="1:9" x14ac:dyDescent="0.25">
      <c r="A25" s="1"/>
      <c r="B25" s="6"/>
      <c r="C25" s="44"/>
      <c r="D25" s="1" t="str">
        <f>IF(ISBLANK(Таблица5[[#This Row],[Оборудование]]),"-",VLOOKUP(C25,'Справочник оборудования'!B:C,2,FALSE))</f>
        <v>-</v>
      </c>
      <c r="E25" s="1" t="str">
        <f>IF(ISBLANK(Таблица5[[#This Row],[Оборудование]]),"-",IF(D25="Кабель","-",VLOOKUP(C25,'Справочник оборудования'!B:I,8,FALSE)&amp;" / "&amp;VLOOKUP(C25,'Справочник оборудования'!B:I,7,FALSE)&amp;" / "&amp;IF(VLOOKUP(C25,'Справочник оборудования'!B:K,10,FALSE)="","-",VLOOKUP(C25,'Справочник оборудования'!B:K,10,FALSE))))</f>
        <v>-</v>
      </c>
      <c r="F25" s="41" t="str">
        <f t="shared" si="2"/>
        <v>-</v>
      </c>
      <c r="G25" s="45" t="str">
        <f t="array" ref="G25">IFERROR(_xlfn.IFS(D25="Антенна панельная","-?-",D25="Антенна РРС","-?-"),"-")</f>
        <v>-</v>
      </c>
      <c r="H25" s="43" t="str">
        <f t="shared" si="3"/>
        <v>-</v>
      </c>
      <c r="I25" s="12"/>
    </row>
    <row r="26" spans="1:9" x14ac:dyDescent="0.25">
      <c r="A26" s="1"/>
      <c r="B26" s="6"/>
      <c r="C26" s="44"/>
      <c r="D26" s="1" t="str">
        <f>IF(ISBLANK(Таблица5[[#This Row],[Оборудование]]),"-",VLOOKUP(C26,'Справочник оборудования'!B:C,2,FALSE))</f>
        <v>-</v>
      </c>
      <c r="E26" s="1" t="str">
        <f>IF(ISBLANK(Таблица5[[#This Row],[Оборудование]]),"-",IF(D26="Кабель","-",VLOOKUP(C26,'Справочник оборудования'!B:I,8,FALSE)&amp;" / "&amp;VLOOKUP(C26,'Справочник оборудования'!B:I,7,FALSE)&amp;" / "&amp;IF(VLOOKUP(C26,'Справочник оборудования'!B:K,10,FALSE)="","-",VLOOKUP(C26,'Справочник оборудования'!B:K,10,FALSE))))</f>
        <v>-</v>
      </c>
      <c r="F26" s="41" t="str">
        <f t="shared" si="2"/>
        <v>-</v>
      </c>
      <c r="G26" s="45" t="str">
        <f t="array" ref="G26">IFERROR(_xlfn.IFS(D26="Антенна панельная","-?-",D26="Антенна РРС","-?-"),"-")</f>
        <v>-</v>
      </c>
      <c r="H26" s="43" t="str">
        <f t="shared" si="3"/>
        <v>-</v>
      </c>
      <c r="I26" s="12"/>
    </row>
    <row r="27" spans="1:9" x14ac:dyDescent="0.25">
      <c r="A27" s="1"/>
      <c r="B27" s="6"/>
      <c r="C27" s="44"/>
      <c r="D27" s="1" t="str">
        <f>IF(ISBLANK(Таблица5[[#This Row],[Оборудование]]),"-",VLOOKUP(C27,'Справочник оборудования'!B:C,2,FALSE))</f>
        <v>-</v>
      </c>
      <c r="E27" s="1" t="str">
        <f>IF(ISBLANK(Таблица5[[#This Row],[Оборудование]]),"-",IF(D27="Кабель","-",VLOOKUP(C27,'Справочник оборудования'!B:I,8,FALSE)&amp;" / "&amp;VLOOKUP(C27,'Справочник оборудования'!B:I,7,FALSE)&amp;" / "&amp;IF(VLOOKUP(C27,'Справочник оборудования'!B:K,10,FALSE)="","-",VLOOKUP(C27,'Справочник оборудования'!B:K,10,FALSE))))</f>
        <v>-</v>
      </c>
      <c r="F27" s="41" t="str">
        <f t="shared" si="2"/>
        <v>-</v>
      </c>
      <c r="G27" s="45" t="str">
        <f t="array" ref="G27">IFERROR(_xlfn.IFS(D27="Антенна панельная","-?-",D27="Антенна РРС","-?-"),"-")</f>
        <v>-</v>
      </c>
      <c r="H27" s="43" t="str">
        <f t="shared" si="3"/>
        <v>-</v>
      </c>
      <c r="I27" s="12"/>
    </row>
    <row r="28" spans="1:9" x14ac:dyDescent="0.25">
      <c r="A28" s="1"/>
      <c r="B28" s="6"/>
      <c r="C28" s="44"/>
      <c r="D28" s="1" t="str">
        <f>IF(ISBLANK(Таблица5[[#This Row],[Оборудование]]),"-",VLOOKUP(C28,'Справочник оборудования'!B:C,2,FALSE))</f>
        <v>-</v>
      </c>
      <c r="E28" s="1" t="str">
        <f>IF(ISBLANK(Таблица5[[#This Row],[Оборудование]]),"-",IF(D28="Кабель","-",VLOOKUP(C28,'Справочник оборудования'!B:I,8,FALSE)&amp;" / "&amp;VLOOKUP(C28,'Справочник оборудования'!B:I,7,FALSE)&amp;" / "&amp;IF(VLOOKUP(C28,'Справочник оборудования'!B:K,10,FALSE)="","-",VLOOKUP(C28,'Справочник оборудования'!B:K,10,FALSE))))</f>
        <v>-</v>
      </c>
      <c r="F28" s="41" t="str">
        <f t="shared" si="2"/>
        <v>-</v>
      </c>
      <c r="G28" s="45" t="str">
        <f t="array" ref="G28">IFERROR(_xlfn.IFS(D28="Антенна панельная","-?-",D28="Антенна РРС","-?-"),"-")</f>
        <v>-</v>
      </c>
      <c r="H28" s="43" t="str">
        <f t="shared" si="3"/>
        <v>-</v>
      </c>
      <c r="I28" s="12"/>
    </row>
    <row r="29" spans="1:9" x14ac:dyDescent="0.25">
      <c r="A29" s="1"/>
      <c r="B29" s="6"/>
      <c r="C29" s="44"/>
      <c r="D29" s="1" t="str">
        <f>IF(ISBLANK(Таблица5[[#This Row],[Оборудование]]),"-",VLOOKUP(C29,'Справочник оборудования'!B:C,2,FALSE))</f>
        <v>-</v>
      </c>
      <c r="E29" s="1" t="str">
        <f>IF(ISBLANK(Таблица5[[#This Row],[Оборудование]]),"-",IF(D29="Кабель","-",VLOOKUP(C29,'Справочник оборудования'!B:I,8,FALSE)&amp;" / "&amp;VLOOKUP(C29,'Справочник оборудования'!B:I,7,FALSE)&amp;" / "&amp;IF(VLOOKUP(C29,'Справочник оборудования'!B:K,10,FALSE)="","-",VLOOKUP(C29,'Справочник оборудования'!B:K,10,FALSE))))</f>
        <v>-</v>
      </c>
      <c r="F29" s="41" t="str">
        <f t="shared" si="2"/>
        <v>-</v>
      </c>
      <c r="G29" s="45" t="str">
        <f t="array" ref="G29">IFERROR(_xlfn.IFS(D29="Антенна панельная","-?-",D29="Антенна РРС","-?-"),"-")</f>
        <v>-</v>
      </c>
      <c r="H29" s="43" t="str">
        <f t="shared" si="3"/>
        <v>-</v>
      </c>
      <c r="I29" s="12"/>
    </row>
    <row r="30" spans="1:9" x14ac:dyDescent="0.25">
      <c r="A30" s="1"/>
      <c r="B30" s="6"/>
      <c r="C30" s="44"/>
      <c r="D30" s="1" t="str">
        <f>IF(ISBLANK(Таблица5[[#This Row],[Оборудование]]),"-",VLOOKUP(C30,'Справочник оборудования'!B:C,2,FALSE))</f>
        <v>-</v>
      </c>
      <c r="E30" s="1" t="str">
        <f>IF(ISBLANK(Таблица5[[#This Row],[Оборудование]]),"-",IF(D30="Кабель","-",VLOOKUP(C30,'Справочник оборудования'!B:I,8,FALSE)&amp;" / "&amp;VLOOKUP(C30,'Справочник оборудования'!B:I,7,FALSE)&amp;" / "&amp;IF(VLOOKUP(C30,'Справочник оборудования'!B:K,10,FALSE)="","-",VLOOKUP(C30,'Справочник оборудования'!B:K,10,FALSE))))</f>
        <v>-</v>
      </c>
      <c r="F30" s="41" t="str">
        <f t="shared" si="2"/>
        <v>-</v>
      </c>
      <c r="G30" s="45" t="str">
        <f t="array" ref="G30">IFERROR(_xlfn.IFS(D30="Антенна панельная","-?-",D30="Антенна РРС","-?-"),"-")</f>
        <v>-</v>
      </c>
      <c r="H30" s="43" t="str">
        <f t="shared" si="3"/>
        <v>-</v>
      </c>
      <c r="I30" s="12"/>
    </row>
    <row r="31" spans="1:9" x14ac:dyDescent="0.25">
      <c r="A31" s="1"/>
      <c r="B31" s="6"/>
      <c r="C31" s="44"/>
      <c r="D31" s="1" t="str">
        <f>IF(ISBLANK(Таблица5[[#This Row],[Оборудование]]),"-",VLOOKUP(C31,'Справочник оборудования'!B:C,2,FALSE))</f>
        <v>-</v>
      </c>
      <c r="E31" s="1" t="str">
        <f>IF(ISBLANK(Таблица5[[#This Row],[Оборудование]]),"-",IF(D31="Кабель","-",VLOOKUP(C31,'Справочник оборудования'!B:I,8,FALSE)&amp;" / "&amp;VLOOKUP(C31,'Справочник оборудования'!B:I,7,FALSE)&amp;" / "&amp;IF(VLOOKUP(C31,'Справочник оборудования'!B:K,10,FALSE)="","-",VLOOKUP(C31,'Справочник оборудования'!B:K,10,FALSE))))</f>
        <v>-</v>
      </c>
      <c r="F31" s="41" t="str">
        <f t="shared" si="2"/>
        <v>-</v>
      </c>
      <c r="G31" s="45" t="str">
        <f t="array" ref="G31">IFERROR(_xlfn.IFS(D31="Антенна панельная","-?-",D31="Антенна РРС","-?-"),"-")</f>
        <v>-</v>
      </c>
      <c r="H31" s="43" t="str">
        <f t="shared" si="3"/>
        <v>-</v>
      </c>
      <c r="I31" s="12"/>
    </row>
    <row r="32" spans="1:9" x14ac:dyDescent="0.25">
      <c r="A32" s="1"/>
      <c r="B32" s="6"/>
      <c r="C32" s="44"/>
      <c r="D32" s="1" t="str">
        <f>IF(ISBLANK(Таблица5[[#This Row],[Оборудование]]),"-",VLOOKUP(C32,'Справочник оборудования'!B:C,2,FALSE))</f>
        <v>-</v>
      </c>
      <c r="E32" s="1" t="str">
        <f>IF(ISBLANK(Таблица5[[#This Row],[Оборудование]]),"-",IF(D32="Кабель","-",VLOOKUP(C32,'Справочник оборудования'!B:I,8,FALSE)&amp;" / "&amp;VLOOKUP(C32,'Справочник оборудования'!B:I,7,FALSE)&amp;" / "&amp;IF(VLOOKUP(C32,'Справочник оборудования'!B:K,10,FALSE)="","-",VLOOKUP(C32,'Справочник оборудования'!B:K,10,FALSE))))</f>
        <v>-</v>
      </c>
      <c r="F32" s="41" t="str">
        <f t="shared" si="2"/>
        <v>-</v>
      </c>
      <c r="G32" s="45" t="str">
        <f t="array" ref="G32">IFERROR(_xlfn.IFS(D32="Антенна панельная","-?-",D32="Антенна РРС","-?-"),"-")</f>
        <v>-</v>
      </c>
      <c r="H32" s="43" t="str">
        <f t="shared" si="3"/>
        <v>-</v>
      </c>
      <c r="I32" s="12"/>
    </row>
    <row r="33" spans="1:9" x14ac:dyDescent="0.25">
      <c r="A33" s="1"/>
      <c r="B33" s="6"/>
      <c r="C33" s="44"/>
      <c r="D33" s="1" t="str">
        <f>IF(ISBLANK(Таблица5[[#This Row],[Оборудование]]),"-",VLOOKUP(C33,'Справочник оборудования'!B:C,2,FALSE))</f>
        <v>-</v>
      </c>
      <c r="E33" s="1" t="str">
        <f>IF(ISBLANK(Таблица5[[#This Row],[Оборудование]]),"-",IF(D33="Кабель","-",VLOOKUP(C33,'Справочник оборудования'!B:I,8,FALSE)&amp;" / "&amp;VLOOKUP(C33,'Справочник оборудования'!B:I,7,FALSE)&amp;" / "&amp;IF(VLOOKUP(C33,'Справочник оборудования'!B:K,10,FALSE)="","-",VLOOKUP(C33,'Справочник оборудования'!B:K,10,FALSE))))</f>
        <v>-</v>
      </c>
      <c r="F33" s="41" t="str">
        <f t="shared" si="2"/>
        <v>-</v>
      </c>
      <c r="G33" s="45" t="str">
        <f t="array" ref="G33">IFERROR(_xlfn.IFS(D33="Антенна панельная","-?-",D33="Антенна РРС","-?-"),"-")</f>
        <v>-</v>
      </c>
      <c r="H33" s="43" t="str">
        <f t="shared" si="3"/>
        <v>-</v>
      </c>
      <c r="I33" s="12"/>
    </row>
    <row r="34" spans="1:9" x14ac:dyDescent="0.25">
      <c r="A34" s="1"/>
      <c r="B34" s="6"/>
      <c r="C34" s="44"/>
      <c r="D34" s="1" t="str">
        <f>IF(ISBLANK(Таблица5[[#This Row],[Оборудование]]),"-",VLOOKUP(C34,'Справочник оборудования'!B:C,2,FALSE))</f>
        <v>-</v>
      </c>
      <c r="E34" s="1" t="str">
        <f>IF(ISBLANK(Таблица5[[#This Row],[Оборудование]]),"-",IF(D34="Кабель","-",VLOOKUP(C34,'Справочник оборудования'!B:I,8,FALSE)&amp;" / "&amp;VLOOKUP(C34,'Справочник оборудования'!B:I,7,FALSE)&amp;" / "&amp;IF(VLOOKUP(C34,'Справочник оборудования'!B:K,10,FALSE)="","-",VLOOKUP(C34,'Справочник оборудования'!B:K,10,FALSE))))</f>
        <v>-</v>
      </c>
      <c r="F34" s="41" t="str">
        <f t="shared" si="2"/>
        <v>-</v>
      </c>
      <c r="G34" s="45" t="str">
        <f t="array" ref="G34">IFERROR(_xlfn.IFS(D34="Антенна панельная","-?-",D34="Антенна РРС","-?-"),"-")</f>
        <v>-</v>
      </c>
      <c r="H34" s="43" t="str">
        <f t="shared" si="3"/>
        <v>-</v>
      </c>
      <c r="I34" s="12"/>
    </row>
    <row r="35" spans="1:9" x14ac:dyDescent="0.25">
      <c r="A35" s="1"/>
      <c r="B35" s="6"/>
      <c r="C35" s="44"/>
      <c r="D35" s="1" t="str">
        <f>IF(ISBLANK(Таблица5[[#This Row],[Оборудование]]),"-",VLOOKUP(C35,'Справочник оборудования'!B:C,2,FALSE))</f>
        <v>-</v>
      </c>
      <c r="E35" s="1" t="str">
        <f>IF(ISBLANK(Таблица5[[#This Row],[Оборудование]]),"-",IF(D35="Кабель","-",VLOOKUP(C35,'Справочник оборудования'!B:I,8,FALSE)&amp;" / "&amp;VLOOKUP(C35,'Справочник оборудования'!B:I,7,FALSE)&amp;" / "&amp;IF(VLOOKUP(C35,'Справочник оборудования'!B:K,10,FALSE)="","-",VLOOKUP(C35,'Справочник оборудования'!B:K,10,FALSE))))</f>
        <v>-</v>
      </c>
      <c r="F35" s="41" t="str">
        <f t="shared" si="2"/>
        <v>-</v>
      </c>
      <c r="G35" s="45" t="str">
        <f t="array" ref="G35">IFERROR(_xlfn.IFS(D35="Антенна панельная","-?-",D35="Антенна РРС","-?-"),"-")</f>
        <v>-</v>
      </c>
      <c r="H35" s="43" t="str">
        <f t="shared" si="3"/>
        <v>-</v>
      </c>
      <c r="I35" s="12"/>
    </row>
    <row r="36" spans="1:9" x14ac:dyDescent="0.25">
      <c r="A36" s="1"/>
      <c r="B36" s="6"/>
      <c r="C36" s="44"/>
      <c r="D36" s="1" t="str">
        <f>IF(ISBLANK(Таблица5[[#This Row],[Оборудование]]),"-",VLOOKUP(C36,'Справочник оборудования'!B:C,2,FALSE))</f>
        <v>-</v>
      </c>
      <c r="E36" s="1" t="str">
        <f>IF(ISBLANK(Таблица5[[#This Row],[Оборудование]]),"-",IF(D36="Кабель","-",VLOOKUP(C36,'Справочник оборудования'!B:I,8,FALSE)&amp;" / "&amp;VLOOKUP(C36,'Справочник оборудования'!B:I,7,FALSE)&amp;" / "&amp;IF(VLOOKUP(C36,'Справочник оборудования'!B:K,10,FALSE)="","-",VLOOKUP(C36,'Справочник оборудования'!B:K,10,FALSE))))</f>
        <v>-</v>
      </c>
      <c r="F36" s="41" t="str">
        <f t="shared" si="2"/>
        <v>-</v>
      </c>
      <c r="G36" s="45" t="str">
        <f t="array" ref="G36">IFERROR(_xlfn.IFS(D36="Антенна панельная","-?-",D36="Антенна РРС","-?-"),"-")</f>
        <v>-</v>
      </c>
      <c r="H36" s="43" t="str">
        <f t="shared" si="3"/>
        <v>-</v>
      </c>
      <c r="I36" s="12"/>
    </row>
    <row r="37" spans="1:9" x14ac:dyDescent="0.25">
      <c r="A37" s="1"/>
      <c r="B37" s="6"/>
      <c r="C37" s="44"/>
      <c r="D37" s="1" t="str">
        <f>IF(ISBLANK(Таблица5[[#This Row],[Оборудование]]),"-",VLOOKUP(C37,'Справочник оборудования'!B:C,2,FALSE))</f>
        <v>-</v>
      </c>
      <c r="E37" s="1" t="str">
        <f>IF(ISBLANK(Таблица5[[#This Row],[Оборудование]]),"-",IF(D37="Кабель","-",VLOOKUP(C37,'Справочник оборудования'!B:I,8,FALSE)&amp;" / "&amp;VLOOKUP(C37,'Справочник оборудования'!B:I,7,FALSE)&amp;" / "&amp;IF(VLOOKUP(C37,'Справочник оборудования'!B:K,10,FALSE)="","-",VLOOKUP(C37,'Справочник оборудования'!B:K,10,FALSE))))</f>
        <v>-</v>
      </c>
      <c r="F37" s="41" t="str">
        <f t="shared" ref="F37:F43" si="4">IF(ISBLANK(C37),"-","-?-")</f>
        <v>-</v>
      </c>
      <c r="G37" s="45" t="str">
        <f t="array" ref="G37">IFERROR(_xlfn.IFS(D37="Антенна панельная","-?-",D37="Антенна РРС","-?-"),"-")</f>
        <v>-</v>
      </c>
      <c r="H37" s="43" t="str">
        <f t="shared" ref="H37:H43" si="5">IF(ISBLANK(C37),"-","-?-")</f>
        <v>-</v>
      </c>
      <c r="I37" s="12"/>
    </row>
    <row r="38" spans="1:9" x14ac:dyDescent="0.25">
      <c r="A38" s="1"/>
      <c r="B38" s="6"/>
      <c r="C38" s="44"/>
      <c r="D38" s="1" t="str">
        <f>IF(ISBLANK(Таблица5[[#This Row],[Оборудование]]),"-",VLOOKUP(C38,'Справочник оборудования'!B:C,2,FALSE))</f>
        <v>-</v>
      </c>
      <c r="E38" s="1" t="str">
        <f>IF(ISBLANK(Таблица5[[#This Row],[Оборудование]]),"-",IF(D38="Кабель","-",VLOOKUP(C38,'Справочник оборудования'!B:I,8,FALSE)&amp;" / "&amp;VLOOKUP(C38,'Справочник оборудования'!B:I,7,FALSE)&amp;" / "&amp;IF(VLOOKUP(C38,'Справочник оборудования'!B:K,10,FALSE)="","-",VLOOKUP(C38,'Справочник оборудования'!B:K,10,FALSE))))</f>
        <v>-</v>
      </c>
      <c r="F38" s="41" t="str">
        <f t="shared" si="4"/>
        <v>-</v>
      </c>
      <c r="G38" s="45" t="str">
        <f t="array" ref="G38">IFERROR(_xlfn.IFS(D38="Антенна панельная","-?-",D38="Антенна РРС","-?-"),"-")</f>
        <v>-</v>
      </c>
      <c r="H38" s="43" t="str">
        <f t="shared" si="5"/>
        <v>-</v>
      </c>
      <c r="I38" s="12"/>
    </row>
    <row r="39" spans="1:9" x14ac:dyDescent="0.25">
      <c r="A39" s="1"/>
      <c r="B39" s="6"/>
      <c r="C39" s="44"/>
      <c r="D39" s="1" t="str">
        <f>IF(ISBLANK(Таблица5[[#This Row],[Оборудование]]),"-",VLOOKUP(C39,'Справочник оборудования'!B:C,2,FALSE))</f>
        <v>-</v>
      </c>
      <c r="E39" s="1" t="str">
        <f>IF(ISBLANK(Таблица5[[#This Row],[Оборудование]]),"-",IF(D39="Кабель","-",VLOOKUP(C39,'Справочник оборудования'!B:I,8,FALSE)&amp;" / "&amp;VLOOKUP(C39,'Справочник оборудования'!B:I,7,FALSE)&amp;" / "&amp;IF(VLOOKUP(C39,'Справочник оборудования'!B:K,10,FALSE)="","-",VLOOKUP(C39,'Справочник оборудования'!B:K,10,FALSE))))</f>
        <v>-</v>
      </c>
      <c r="F39" s="41" t="str">
        <f t="shared" si="4"/>
        <v>-</v>
      </c>
      <c r="G39" s="45" t="str">
        <f t="array" ref="G39">IFERROR(_xlfn.IFS(D39="Антенна панельная","-?-",D39="Антенна РРС","-?-"),"-")</f>
        <v>-</v>
      </c>
      <c r="H39" s="43" t="str">
        <f t="shared" si="5"/>
        <v>-</v>
      </c>
      <c r="I39" s="12"/>
    </row>
    <row r="40" spans="1:9" x14ac:dyDescent="0.25">
      <c r="A40" s="1"/>
      <c r="B40" s="6"/>
      <c r="C40" s="44"/>
      <c r="D40" s="1" t="str">
        <f>IF(ISBLANK(Таблица5[[#This Row],[Оборудование]]),"-",VLOOKUP(C40,'Справочник оборудования'!B:C,2,FALSE))</f>
        <v>-</v>
      </c>
      <c r="E40" s="1" t="str">
        <f>IF(ISBLANK(Таблица5[[#This Row],[Оборудование]]),"-",IF(D40="Кабель","-",VLOOKUP(C40,'Справочник оборудования'!B:I,8,FALSE)&amp;" / "&amp;VLOOKUP(C40,'Справочник оборудования'!B:I,7,FALSE)&amp;" / "&amp;IF(VLOOKUP(C40,'Справочник оборудования'!B:K,10,FALSE)="","-",VLOOKUP(C40,'Справочник оборудования'!B:K,10,FALSE))))</f>
        <v>-</v>
      </c>
      <c r="F40" s="41" t="str">
        <f t="shared" si="4"/>
        <v>-</v>
      </c>
      <c r="G40" s="45" t="str">
        <f t="array" ref="G40">IFERROR(_xlfn.IFS(D40="Антенна панельная","-?-",D40="Антенна РРС","-?-"),"-")</f>
        <v>-</v>
      </c>
      <c r="H40" s="43" t="str">
        <f t="shared" si="5"/>
        <v>-</v>
      </c>
      <c r="I40" s="12"/>
    </row>
    <row r="41" spans="1:9" x14ac:dyDescent="0.25">
      <c r="A41" s="1"/>
      <c r="B41" s="6"/>
      <c r="C41" s="44"/>
      <c r="D41" s="1" t="str">
        <f>IF(ISBLANK(Таблица5[[#This Row],[Оборудование]]),"-",VLOOKUP(C41,'Справочник оборудования'!B:C,2,FALSE))</f>
        <v>-</v>
      </c>
      <c r="E41" s="1" t="str">
        <f>IF(ISBLANK(Таблица5[[#This Row],[Оборудование]]),"-",IF(D41="Кабель","-",VLOOKUP(C41,'Справочник оборудования'!B:I,8,FALSE)&amp;" / "&amp;VLOOKUP(C41,'Справочник оборудования'!B:I,7,FALSE)&amp;" / "&amp;IF(VLOOKUP(C41,'Справочник оборудования'!B:K,10,FALSE)="","-",VLOOKUP(C41,'Справочник оборудования'!B:K,10,FALSE))))</f>
        <v>-</v>
      </c>
      <c r="F41" s="41" t="str">
        <f t="shared" si="4"/>
        <v>-</v>
      </c>
      <c r="G41" s="45" t="str">
        <f t="array" ref="G41">IFERROR(_xlfn.IFS(D41="Антенна панельная","-?-",D41="Антенна РРС","-?-"),"-")</f>
        <v>-</v>
      </c>
      <c r="H41" s="43" t="str">
        <f t="shared" si="5"/>
        <v>-</v>
      </c>
      <c r="I41" s="12"/>
    </row>
    <row r="42" spans="1:9" x14ac:dyDescent="0.25">
      <c r="A42" s="1"/>
      <c r="B42" s="6"/>
      <c r="C42" s="44"/>
      <c r="D42" s="1" t="str">
        <f>IF(ISBLANK(Таблица5[[#This Row],[Оборудование]]),"-",VLOOKUP(C42,'Справочник оборудования'!B:C,2,FALSE))</f>
        <v>-</v>
      </c>
      <c r="E42" s="1" t="str">
        <f>IF(ISBLANK(Таблица5[[#This Row],[Оборудование]]),"-",IF(D42="Кабель","-",VLOOKUP(C42,'Справочник оборудования'!B:I,8,FALSE)&amp;" / "&amp;VLOOKUP(C42,'Справочник оборудования'!B:I,7,FALSE)&amp;" / "&amp;IF(VLOOKUP(C42,'Справочник оборудования'!B:K,10,FALSE)="","-",VLOOKUP(C42,'Справочник оборудования'!B:K,10,FALSE))))</f>
        <v>-</v>
      </c>
      <c r="F42" s="41" t="str">
        <f t="shared" si="4"/>
        <v>-</v>
      </c>
      <c r="G42" s="45" t="str">
        <f t="array" ref="G42">IFERROR(_xlfn.IFS(D42="Антенна панельная","-?-",D42="Антенна РРС","-?-"),"-")</f>
        <v>-</v>
      </c>
      <c r="H42" s="43" t="str">
        <f t="shared" si="5"/>
        <v>-</v>
      </c>
      <c r="I42" s="12"/>
    </row>
    <row r="43" ht="15.75" customHeight="1" spans="1:9" x14ac:dyDescent="0.25">
      <c r="A43" s="1"/>
      <c r="B43" s="6"/>
      <c r="C43" s="46"/>
      <c r="D43" s="47" t="str">
        <f>IF(ISBLANK(Таблица5[[#This Row],[Оборудование]]),"-",VLOOKUP(C43,'Справочник оборудования'!B:C,2,FALSE))</f>
        <v>-</v>
      </c>
      <c r="E43" s="47" t="str">
        <f>IF(ISBLANK(Таблица5[[#This Row],[Оборудование]]),"-",IF(D43="Кабель","-",VLOOKUP(C43,'Справочник оборудования'!B:I,8,FALSE)&amp;" / "&amp;VLOOKUP(C43,'Справочник оборудования'!B:I,7,FALSE)&amp;" / "&amp;IF(VLOOKUP(C43,'Справочник оборудования'!B:K,10,FALSE)="","-",VLOOKUP(C43,'Справочник оборудования'!B:K,10,FALSE))))</f>
        <v>-</v>
      </c>
      <c r="F43" s="48" t="str">
        <f t="shared" si="4"/>
        <v>-</v>
      </c>
      <c r="G43" s="49" t="str">
        <f t="array" ref="G43">IFERROR(_xlfn.IFS(D43="Антенна панельная","-?-",D43="Антенна РРС","-?-"),"-")</f>
        <v>-</v>
      </c>
      <c r="H43" s="50" t="str">
        <f t="shared" si="5"/>
        <v>-</v>
      </c>
      <c r="I43" s="12"/>
    </row>
    <row r="44" ht="9" customHeight="1" spans="1:9" x14ac:dyDescent="0.25">
      <c r="A44" s="1"/>
      <c r="B44" s="51"/>
      <c r="C44" s="52"/>
      <c r="D44" s="52"/>
      <c r="E44" s="52"/>
      <c r="F44" s="52"/>
      <c r="G44" s="52"/>
      <c r="H44" s="52"/>
      <c r="I44" s="53"/>
    </row>
  </sheetData>
  <sheetProtection sheet="1" selectLockedCells="1" algorithmName="SHA-512" hashValue="E2KiXxRjfGXFDlrvyLNyJ4ltTRrgSTtSxB5oeWT3e6CKA0FG3vfodaQm9ltpHhH5/CglfyUVYnyr0l7go1VulA==" saltValue="Mmms95c6RWe+9ngo4FQ5Xw==" spinCount="100000" objects="1" scenarios="1"/>
  <mergeCells count="2">
    <mergeCell ref="C3:G3"/>
    <mergeCell ref="E5:H10"/>
  </mergeCells>
  <conditionalFormatting sqref="C10 C17:C43">
    <cfRule type="cellIs" dxfId="0" priority="1" operator="equal">
      <formula>""</formula>
    </cfRule>
  </conditionalFormatting>
  <conditionalFormatting sqref="D5">
    <cfRule type="cellIs" dxfId="1" priority="8" operator="greaterThan">
      <formula>0</formula>
    </cfRule>
  </conditionalFormatting>
  <conditionalFormatting sqref="D5:D7 F13:H43">
    <cfRule type="cellIs" dxfId="2" priority="6" operator="equal">
      <formula>"-?-"</formula>
    </cfRule>
  </conditionalFormatting>
  <conditionalFormatting sqref="D6">
    <cfRule type="containsText" dxfId="3" priority="2">
      <formula>NOT(ISERROR(SEARCH("ООО ""Т2 Мобайл""",D6)))</formula>
    </cfRule>
    <cfRule type="containsText" dxfId="4" priority="3">
      <formula>NOT(ISERROR(SEARCH("ПАО ""МегаФон""",D6)))</formula>
    </cfRule>
    <cfRule type="containsText" dxfId="5" priority="4">
      <formula>NOT(ISERROR(SEARCH("ПАО ""МТС""",D6)))</formula>
    </cfRule>
    <cfRule type="containsText" dxfId="6" priority="5">
      <formula>NOT(ISERROR(SEARCH("ПАО ""ВымпелКом""",D6)))</formula>
    </cfRule>
  </conditionalFormatting>
  <conditionalFormatting sqref="D7">
    <cfRule type="cellIs" dxfId="7" priority="7" operator="between">
      <formula>769999</formula>
      <formula>779999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Импорт</vt:lpstr>
      <vt:lpstr>Спецификация для запроса ТУ</vt:lpstr>
      <vt:lpstr>Справочник оборудования</vt:lpstr>
      <vt:lpstr>Справочник Статусов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Невленинов Артём</dc:creator>
  <cp:lastModifiedBy>Невленинов Артём</cp:lastModifiedBy>
  <cp:lastPrinted>2024-02-07T05:55:42Z</cp:lastPrinted>
  <dcterms:created xsi:type="dcterms:W3CDTF">2023-05-31T06:11:44Z</dcterms:created>
  <dcterms:modified xsi:type="dcterms:W3CDTF">2025-12-02T08:00:22Z</dcterms:modified>
</cp:coreProperties>
</file>